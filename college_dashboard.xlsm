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2e37da502e9cc1d/Python/college-data/"/>
    </mc:Choice>
  </mc:AlternateContent>
  <xr:revisionPtr revIDLastSave="113" documentId="13_ncr:1_{142A4FF0-DF7A-487C-835B-F90FA3D83756}" xr6:coauthVersionLast="47" xr6:coauthVersionMax="47" xr10:uidLastSave="{229BDEE3-DBF9-4FB8-AC26-F1922B94AC92}"/>
  <bookViews>
    <workbookView xWindow="1790" yWindow="2960" windowWidth="29410" windowHeight="17130" xr2:uid="{C2BDE394-89C9-4E66-8952-D0D1A80ED60F}"/>
  </bookViews>
  <sheets>
    <sheet name="list general" sheetId="15" r:id="rId1"/>
    <sheet name="raw" sheetId="4" r:id="rId2"/>
    <sheet name="deadlines" sheetId="13" r:id="rId3"/>
    <sheet name="eadm_rates" sheetId="12" r:id="rId4"/>
    <sheet name="notes" sheetId="5" r:id="rId5"/>
  </sheets>
  <definedNames>
    <definedName name="_xlnm._FilterDatabase" localSheetId="0" hidden="1">'list general'!$A$2:$AH$114</definedName>
    <definedName name="_xlnm._FilterDatabase" localSheetId="1" hidden="1">raw!$A$1:$CA$101</definedName>
    <definedName name="_xleta.INDEX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" i="15" l="1"/>
  <c r="O2" i="15"/>
  <c r="P2" i="15"/>
  <c r="N2" i="15"/>
  <c r="J2" i="15"/>
  <c r="J87" i="15" s="1"/>
  <c r="I2" i="15"/>
  <c r="I88" i="15" s="1"/>
  <c r="R2" i="15"/>
  <c r="R100" i="15" s="1"/>
  <c r="S100" i="15" s="1"/>
  <c r="M2" i="15"/>
  <c r="M96" i="15" s="1"/>
  <c r="K2" i="15"/>
  <c r="K99" i="15" s="1"/>
  <c r="G2" i="15"/>
  <c r="G101" i="15" s="1"/>
  <c r="F2" i="15"/>
  <c r="F101" i="15" s="1"/>
  <c r="G93" i="15"/>
  <c r="G92" i="15"/>
  <c r="G91" i="15"/>
  <c r="F91" i="15"/>
  <c r="G87" i="15"/>
  <c r="G86" i="15"/>
  <c r="G84" i="15"/>
  <c r="F81" i="15"/>
  <c r="G80" i="15"/>
  <c r="G79" i="15"/>
  <c r="F79" i="15"/>
  <c r="G75" i="15"/>
  <c r="F75" i="15"/>
  <c r="G74" i="15"/>
  <c r="G73" i="15"/>
  <c r="F73" i="15"/>
  <c r="G70" i="15"/>
  <c r="G69" i="15"/>
  <c r="F69" i="15"/>
  <c r="G68" i="15"/>
  <c r="F68" i="15"/>
  <c r="F66" i="15"/>
  <c r="G65" i="15"/>
  <c r="F65" i="15"/>
  <c r="G64" i="15"/>
  <c r="F64" i="15"/>
  <c r="F62" i="15"/>
  <c r="G61" i="15"/>
  <c r="F61" i="15"/>
  <c r="G60" i="15"/>
  <c r="F60" i="15"/>
  <c r="F58" i="15"/>
  <c r="G57" i="15"/>
  <c r="F57" i="15"/>
  <c r="G56" i="15"/>
  <c r="F56" i="15"/>
  <c r="F54" i="15"/>
  <c r="G53" i="15"/>
  <c r="F53" i="15"/>
  <c r="G52" i="15"/>
  <c r="F52" i="15"/>
  <c r="F50" i="15"/>
  <c r="G49" i="15"/>
  <c r="F49" i="15"/>
  <c r="G48" i="15"/>
  <c r="F48" i="15"/>
  <c r="F46" i="15"/>
  <c r="G45" i="15"/>
  <c r="F45" i="15"/>
  <c r="G44" i="15"/>
  <c r="F44" i="15"/>
  <c r="F42" i="15"/>
  <c r="G41" i="15"/>
  <c r="F41" i="15"/>
  <c r="G40" i="15"/>
  <c r="F40" i="15"/>
  <c r="F38" i="15"/>
  <c r="G37" i="15"/>
  <c r="F37" i="15"/>
  <c r="G36" i="15"/>
  <c r="F36" i="15"/>
  <c r="F34" i="15"/>
  <c r="G33" i="15"/>
  <c r="F33" i="15"/>
  <c r="G32" i="15"/>
  <c r="F32" i="15"/>
  <c r="F30" i="15"/>
  <c r="G29" i="15"/>
  <c r="F29" i="15"/>
  <c r="G28" i="15"/>
  <c r="F28" i="15"/>
  <c r="F26" i="15"/>
  <c r="G25" i="15"/>
  <c r="F25" i="15"/>
  <c r="G24" i="15"/>
  <c r="F24" i="15"/>
  <c r="F22" i="15"/>
  <c r="G21" i="15"/>
  <c r="F21" i="15"/>
  <c r="G20" i="15"/>
  <c r="F20" i="15"/>
  <c r="F18" i="15"/>
  <c r="G17" i="15"/>
  <c r="F17" i="15"/>
  <c r="G16" i="15"/>
  <c r="F16" i="15"/>
  <c r="F14" i="15"/>
  <c r="G13" i="15"/>
  <c r="F13" i="15"/>
  <c r="G12" i="15"/>
  <c r="F12" i="15"/>
  <c r="F10" i="15"/>
  <c r="G9" i="15"/>
  <c r="F9" i="15"/>
  <c r="G8" i="15"/>
  <c r="F8" i="15"/>
  <c r="F6" i="15"/>
  <c r="G5" i="15"/>
  <c r="F5" i="15"/>
  <c r="G4" i="15"/>
  <c r="F4" i="15"/>
  <c r="R102" i="15"/>
  <c r="S102" i="15" s="1"/>
  <c r="M102" i="15"/>
  <c r="L102" i="15"/>
  <c r="K102" i="15"/>
  <c r="P102" i="15" s="1"/>
  <c r="Q102" i="15" s="1"/>
  <c r="H102" i="15"/>
  <c r="G102" i="15"/>
  <c r="F102" i="15"/>
  <c r="A102" i="15"/>
  <c r="AA102" i="15" s="1"/>
  <c r="A103" i="15"/>
  <c r="Z103" i="15" s="1"/>
  <c r="G103" i="15"/>
  <c r="F103" i="15"/>
  <c r="R103" i="15"/>
  <c r="S103" i="15" s="1"/>
  <c r="M103" i="15"/>
  <c r="L103" i="15"/>
  <c r="K103" i="15"/>
  <c r="P103" i="15" s="1"/>
  <c r="H103" i="15"/>
  <c r="R101" i="15"/>
  <c r="S101" i="15" s="1"/>
  <c r="A101" i="15"/>
  <c r="AB101" i="15" s="1"/>
  <c r="K100" i="15"/>
  <c r="A100" i="15"/>
  <c r="AB100" i="15" s="1"/>
  <c r="R99" i="15"/>
  <c r="S99" i="15" s="1"/>
  <c r="A99" i="15"/>
  <c r="AB99" i="15" s="1"/>
  <c r="A98" i="15"/>
  <c r="AA98" i="15" s="1"/>
  <c r="R97" i="15"/>
  <c r="S97" i="15" s="1"/>
  <c r="A97" i="15"/>
  <c r="AB97" i="15" s="1"/>
  <c r="R96" i="15"/>
  <c r="S96" i="15" s="1"/>
  <c r="K96" i="15"/>
  <c r="A96" i="15"/>
  <c r="AA96" i="15" s="1"/>
  <c r="R95" i="15"/>
  <c r="S95" i="15" s="1"/>
  <c r="A95" i="15"/>
  <c r="Z95" i="15" s="1"/>
  <c r="R94" i="15"/>
  <c r="S94" i="15" s="1"/>
  <c r="K94" i="15"/>
  <c r="A94" i="15"/>
  <c r="Z94" i="15" s="1"/>
  <c r="R93" i="15"/>
  <c r="S93" i="15" s="1"/>
  <c r="A93" i="15"/>
  <c r="AB93" i="15" s="1"/>
  <c r="R92" i="15"/>
  <c r="S92" i="15" s="1"/>
  <c r="A92" i="15"/>
  <c r="AA92" i="15" s="1"/>
  <c r="R91" i="15"/>
  <c r="S91" i="15" s="1"/>
  <c r="A91" i="15"/>
  <c r="Z91" i="15" s="1"/>
  <c r="R90" i="15"/>
  <c r="S90" i="15" s="1"/>
  <c r="A90" i="15"/>
  <c r="Z90" i="15" s="1"/>
  <c r="R89" i="15"/>
  <c r="S89" i="15" s="1"/>
  <c r="K89" i="15"/>
  <c r="A89" i="15"/>
  <c r="AB89" i="15" s="1"/>
  <c r="R88" i="15"/>
  <c r="S88" i="15" s="1"/>
  <c r="A88" i="15"/>
  <c r="AA88" i="15" s="1"/>
  <c r="R87" i="15"/>
  <c r="S87" i="15" s="1"/>
  <c r="K87" i="15"/>
  <c r="A87" i="15"/>
  <c r="Z87" i="15" s="1"/>
  <c r="R86" i="15"/>
  <c r="S86" i="15" s="1"/>
  <c r="A86" i="15"/>
  <c r="R85" i="15"/>
  <c r="S85" i="15" s="1"/>
  <c r="A85" i="15"/>
  <c r="AB85" i="15" s="1"/>
  <c r="R84" i="15"/>
  <c r="S84" i="15" s="1"/>
  <c r="A84" i="15"/>
  <c r="AA84" i="15" s="1"/>
  <c r="R83" i="15"/>
  <c r="S83" i="15" s="1"/>
  <c r="A83" i="15"/>
  <c r="Z83" i="15" s="1"/>
  <c r="R82" i="15"/>
  <c r="S82" i="15" s="1"/>
  <c r="K82" i="15"/>
  <c r="A82" i="15"/>
  <c r="Z82" i="15" s="1"/>
  <c r="R81" i="15"/>
  <c r="S81" i="15" s="1"/>
  <c r="A81" i="15"/>
  <c r="AA81" i="15" s="1"/>
  <c r="R80" i="15"/>
  <c r="S80" i="15" s="1"/>
  <c r="A80" i="15"/>
  <c r="AA80" i="15" s="1"/>
  <c r="R79" i="15"/>
  <c r="S79" i="15" s="1"/>
  <c r="A79" i="15"/>
  <c r="Z79" i="15" s="1"/>
  <c r="R78" i="15"/>
  <c r="S78" i="15" s="1"/>
  <c r="A78" i="15"/>
  <c r="Z78" i="15" s="1"/>
  <c r="R77" i="15"/>
  <c r="S77" i="15" s="1"/>
  <c r="A77" i="15"/>
  <c r="AB77" i="15" s="1"/>
  <c r="R76" i="15"/>
  <c r="S76" i="15" s="1"/>
  <c r="A76" i="15"/>
  <c r="AA76" i="15" s="1"/>
  <c r="R75" i="15"/>
  <c r="S75" i="15" s="1"/>
  <c r="K75" i="15"/>
  <c r="P75" i="15" s="1"/>
  <c r="A75" i="15"/>
  <c r="R74" i="15"/>
  <c r="S74" i="15" s="1"/>
  <c r="A74" i="15"/>
  <c r="AB74" i="15" s="1"/>
  <c r="R73" i="15"/>
  <c r="S73" i="15" s="1"/>
  <c r="K73" i="15"/>
  <c r="A73" i="15"/>
  <c r="AA73" i="15" s="1"/>
  <c r="R72" i="15"/>
  <c r="S72" i="15" s="1"/>
  <c r="A72" i="15"/>
  <c r="Z72" i="15" s="1"/>
  <c r="R71" i="15"/>
  <c r="S71" i="15" s="1"/>
  <c r="K71" i="15"/>
  <c r="A71" i="15"/>
  <c r="Z71" i="15" s="1"/>
  <c r="R70" i="15"/>
  <c r="S70" i="15" s="1"/>
  <c r="A70" i="15"/>
  <c r="AB70" i="15" s="1"/>
  <c r="R69" i="15"/>
  <c r="S69" i="15" s="1"/>
  <c r="A69" i="15"/>
  <c r="AA69" i="15" s="1"/>
  <c r="R68" i="15"/>
  <c r="S68" i="15" s="1"/>
  <c r="K68" i="15"/>
  <c r="P68" i="15" s="1"/>
  <c r="A68" i="15"/>
  <c r="Z68" i="15" s="1"/>
  <c r="R65" i="15"/>
  <c r="S65" i="15" s="1"/>
  <c r="A65" i="15"/>
  <c r="R66" i="15"/>
  <c r="S66" i="15" s="1"/>
  <c r="K66" i="15"/>
  <c r="P66" i="15" s="1"/>
  <c r="A66" i="15"/>
  <c r="AB66" i="15" s="1"/>
  <c r="R67" i="15"/>
  <c r="S67" i="15" s="1"/>
  <c r="A67" i="15"/>
  <c r="AA67" i="15" s="1"/>
  <c r="R64" i="15"/>
  <c r="S64" i="15" s="1"/>
  <c r="K64" i="15"/>
  <c r="P64" i="15" s="1"/>
  <c r="A64" i="15"/>
  <c r="Z64" i="15" s="1"/>
  <c r="R63" i="15"/>
  <c r="S63" i="15" s="1"/>
  <c r="A63" i="15"/>
  <c r="Z63" i="15" s="1"/>
  <c r="R62" i="15"/>
  <c r="S62" i="15" s="1"/>
  <c r="K62" i="15"/>
  <c r="P62" i="15" s="1"/>
  <c r="A62" i="15"/>
  <c r="AB62" i="15" s="1"/>
  <c r="R61" i="15"/>
  <c r="S61" i="15" s="1"/>
  <c r="A61" i="15"/>
  <c r="AA61" i="15" s="1"/>
  <c r="R60" i="15"/>
  <c r="S60" i="15" s="1"/>
  <c r="K60" i="15"/>
  <c r="N60" i="15" s="1"/>
  <c r="A60" i="15"/>
  <c r="Z60" i="15" s="1"/>
  <c r="R59" i="15"/>
  <c r="S59" i="15" s="1"/>
  <c r="A59" i="15"/>
  <c r="Z59" i="15" s="1"/>
  <c r="R58" i="15"/>
  <c r="S58" i="15" s="1"/>
  <c r="K58" i="15"/>
  <c r="N58" i="15" s="1"/>
  <c r="O58" i="15" s="1"/>
  <c r="A58" i="15"/>
  <c r="Z58" i="15" s="1"/>
  <c r="R57" i="15"/>
  <c r="S57" i="15" s="1"/>
  <c r="A57" i="15"/>
  <c r="AA57" i="15" s="1"/>
  <c r="R56" i="15"/>
  <c r="S56" i="15" s="1"/>
  <c r="K56" i="15"/>
  <c r="P56" i="15" s="1"/>
  <c r="A56" i="15"/>
  <c r="Z56" i="15" s="1"/>
  <c r="R55" i="15"/>
  <c r="S55" i="15" s="1"/>
  <c r="A55" i="15"/>
  <c r="Z55" i="15" s="1"/>
  <c r="R54" i="15"/>
  <c r="S54" i="15" s="1"/>
  <c r="K54" i="15"/>
  <c r="P54" i="15" s="1"/>
  <c r="A54" i="15"/>
  <c r="AB54" i="15" s="1"/>
  <c r="R47" i="15"/>
  <c r="S47" i="15" s="1"/>
  <c r="A47" i="15"/>
  <c r="AA47" i="15" s="1"/>
  <c r="R52" i="15"/>
  <c r="S52" i="15" s="1"/>
  <c r="K52" i="15"/>
  <c r="P52" i="15" s="1"/>
  <c r="A52" i="15"/>
  <c r="Z52" i="15" s="1"/>
  <c r="R51" i="15"/>
  <c r="S51" i="15" s="1"/>
  <c r="A51" i="15"/>
  <c r="Z51" i="15" s="1"/>
  <c r="R50" i="15"/>
  <c r="S50" i="15" s="1"/>
  <c r="K50" i="15"/>
  <c r="P50" i="15" s="1"/>
  <c r="A50" i="15"/>
  <c r="Y50" i="15" s="1"/>
  <c r="R49" i="15"/>
  <c r="S49" i="15" s="1"/>
  <c r="A49" i="15"/>
  <c r="AA49" i="15" s="1"/>
  <c r="R48" i="15"/>
  <c r="S48" i="15" s="1"/>
  <c r="M48" i="15"/>
  <c r="A48" i="15"/>
  <c r="AB48" i="15" s="1"/>
  <c r="R53" i="15"/>
  <c r="S53" i="15" s="1"/>
  <c r="A53" i="15"/>
  <c r="Y53" i="15" s="1"/>
  <c r="R46" i="15"/>
  <c r="S46" i="15" s="1"/>
  <c r="A46" i="15"/>
  <c r="AB46" i="15" s="1"/>
  <c r="R45" i="15"/>
  <c r="S45" i="15" s="1"/>
  <c r="A45" i="15"/>
  <c r="AA45" i="15" s="1"/>
  <c r="R44" i="15"/>
  <c r="S44" i="15" s="1"/>
  <c r="A44" i="15"/>
  <c r="Z44" i="15" s="1"/>
  <c r="R34" i="15"/>
  <c r="S34" i="15" s="1"/>
  <c r="A34" i="15"/>
  <c r="AA34" i="15" s="1"/>
  <c r="R43" i="15"/>
  <c r="S43" i="15" s="1"/>
  <c r="A43" i="15"/>
  <c r="AB43" i="15" s="1"/>
  <c r="R41" i="15"/>
  <c r="S41" i="15" s="1"/>
  <c r="A41" i="15"/>
  <c r="AB41" i="15" s="1"/>
  <c r="R30" i="15"/>
  <c r="S30" i="15" s="1"/>
  <c r="A30" i="15"/>
  <c r="AB30" i="15" s="1"/>
  <c r="R39" i="15"/>
  <c r="S39" i="15" s="1"/>
  <c r="A39" i="15"/>
  <c r="Y39" i="15" s="1"/>
  <c r="R37" i="15"/>
  <c r="S37" i="15" s="1"/>
  <c r="A37" i="15"/>
  <c r="AB37" i="15" s="1"/>
  <c r="R36" i="15"/>
  <c r="S36" i="15" s="1"/>
  <c r="A36" i="15"/>
  <c r="AA36" i="15" s="1"/>
  <c r="R35" i="15"/>
  <c r="S35" i="15" s="1"/>
  <c r="A35" i="15"/>
  <c r="Z35" i="15" s="1"/>
  <c r="R40" i="15"/>
  <c r="S40" i="15" s="1"/>
  <c r="A40" i="15"/>
  <c r="AA40" i="15" s="1"/>
  <c r="R24" i="15"/>
  <c r="S24" i="15" s="1"/>
  <c r="A24" i="15"/>
  <c r="AA24" i="15" s="1"/>
  <c r="R38" i="15"/>
  <c r="S38" i="15" s="1"/>
  <c r="A38" i="15"/>
  <c r="Y38" i="15" s="1"/>
  <c r="R32" i="15"/>
  <c r="S32" i="15" s="1"/>
  <c r="A32" i="15"/>
  <c r="AB32" i="15" s="1"/>
  <c r="R31" i="15"/>
  <c r="S31" i="15" s="1"/>
  <c r="A31" i="15"/>
  <c r="Y31" i="15" s="1"/>
  <c r="R42" i="15"/>
  <c r="S42" i="15" s="1"/>
  <c r="A42" i="15"/>
  <c r="AB42" i="15" s="1"/>
  <c r="R33" i="15"/>
  <c r="S33" i="15" s="1"/>
  <c r="A33" i="15"/>
  <c r="Z33" i="15" s="1"/>
  <c r="R29" i="15"/>
  <c r="S29" i="15" s="1"/>
  <c r="A29" i="15"/>
  <c r="Z29" i="15" s="1"/>
  <c r="R25" i="15"/>
  <c r="S25" i="15" s="1"/>
  <c r="A25" i="15"/>
  <c r="AB25" i="15" s="1"/>
  <c r="R26" i="15"/>
  <c r="S26" i="15" s="1"/>
  <c r="A26" i="15"/>
  <c r="AA26" i="15" s="1"/>
  <c r="R22" i="15"/>
  <c r="S22" i="15" s="1"/>
  <c r="A22" i="15"/>
  <c r="AA22" i="15" s="1"/>
  <c r="R18" i="15"/>
  <c r="S18" i="15" s="1"/>
  <c r="A18" i="15"/>
  <c r="Z18" i="15" s="1"/>
  <c r="R23" i="15"/>
  <c r="S23" i="15" s="1"/>
  <c r="A23" i="15"/>
  <c r="Y23" i="15" s="1"/>
  <c r="R28" i="15"/>
  <c r="S28" i="15" s="1"/>
  <c r="A28" i="15"/>
  <c r="AB28" i="15" s="1"/>
  <c r="R21" i="15"/>
  <c r="S21" i="15" s="1"/>
  <c r="A21" i="15"/>
  <c r="AB21" i="15" s="1"/>
  <c r="R20" i="15"/>
  <c r="S20" i="15" s="1"/>
  <c r="A20" i="15"/>
  <c r="Z20" i="15" s="1"/>
  <c r="R19" i="15"/>
  <c r="S19" i="15" s="1"/>
  <c r="A19" i="15"/>
  <c r="AB19" i="15" s="1"/>
  <c r="R27" i="15"/>
  <c r="S27" i="15" s="1"/>
  <c r="I27" i="15"/>
  <c r="A27" i="15"/>
  <c r="AA27" i="15" s="1"/>
  <c r="R16" i="15"/>
  <c r="S16" i="15" s="1"/>
  <c r="A16" i="15"/>
  <c r="AA16" i="15" s="1"/>
  <c r="R17" i="15"/>
  <c r="S17" i="15" s="1"/>
  <c r="K17" i="15"/>
  <c r="A17" i="15"/>
  <c r="AB17" i="15" s="1"/>
  <c r="R15" i="15"/>
  <c r="S15" i="15" s="1"/>
  <c r="I15" i="15"/>
  <c r="A15" i="15"/>
  <c r="Y15" i="15" s="1"/>
  <c r="R12" i="15"/>
  <c r="S12" i="15" s="1"/>
  <c r="A12" i="15"/>
  <c r="AB12" i="15" s="1"/>
  <c r="R13" i="15"/>
  <c r="S13" i="15" s="1"/>
  <c r="K13" i="15"/>
  <c r="A13" i="15"/>
  <c r="Z13" i="15" s="1"/>
  <c r="R14" i="15"/>
  <c r="S14" i="15" s="1"/>
  <c r="I14" i="15"/>
  <c r="A14" i="15"/>
  <c r="Z14" i="15" s="1"/>
  <c r="R11" i="15"/>
  <c r="S11" i="15" s="1"/>
  <c r="K11" i="15"/>
  <c r="P11" i="15" s="1"/>
  <c r="A11" i="15"/>
  <c r="AB11" i="15" s="1"/>
  <c r="R10" i="15"/>
  <c r="S10" i="15" s="1"/>
  <c r="A10" i="15"/>
  <c r="AA10" i="15" s="1"/>
  <c r="R9" i="15"/>
  <c r="S9" i="15" s="1"/>
  <c r="K9" i="15"/>
  <c r="N9" i="15" s="1"/>
  <c r="A9" i="15"/>
  <c r="AA9" i="15" s="1"/>
  <c r="R8" i="15"/>
  <c r="S8" i="15" s="1"/>
  <c r="A8" i="15"/>
  <c r="AB8" i="15" s="1"/>
  <c r="R7" i="15"/>
  <c r="S7" i="15" s="1"/>
  <c r="K7" i="15"/>
  <c r="P7" i="15" s="1"/>
  <c r="A7" i="15"/>
  <c r="R6" i="15"/>
  <c r="S6" i="15" s="1"/>
  <c r="A6" i="15"/>
  <c r="R5" i="15"/>
  <c r="S5" i="15" s="1"/>
  <c r="K5" i="15"/>
  <c r="N5" i="15" s="1"/>
  <c r="A5" i="15"/>
  <c r="R4" i="15"/>
  <c r="S4" i="15" s="1"/>
  <c r="A4" i="15"/>
  <c r="H33" i="13"/>
  <c r="H32" i="13"/>
  <c r="H31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H3" i="13"/>
  <c r="H2" i="13"/>
  <c r="L10" i="13"/>
  <c r="K10" i="13"/>
  <c r="J10" i="13"/>
  <c r="L9" i="13"/>
  <c r="K9" i="13"/>
  <c r="J9" i="13"/>
  <c r="G47" i="12"/>
  <c r="G46" i="12"/>
  <c r="G45" i="12"/>
  <c r="G44" i="12"/>
  <c r="G43" i="12"/>
  <c r="G42" i="12"/>
  <c r="G41" i="12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5" i="12"/>
  <c r="G4" i="12"/>
  <c r="G3" i="12"/>
  <c r="G2" i="12"/>
  <c r="J53" i="15" l="1"/>
  <c r="J16" i="15"/>
  <c r="J28" i="15"/>
  <c r="J42" i="15"/>
  <c r="J37" i="15"/>
  <c r="J46" i="15"/>
  <c r="J47" i="15"/>
  <c r="J60" i="15"/>
  <c r="J75" i="15"/>
  <c r="J4" i="15"/>
  <c r="J11" i="15"/>
  <c r="J13" i="15"/>
  <c r="J15" i="15"/>
  <c r="J22" i="15"/>
  <c r="J38" i="15"/>
  <c r="J41" i="15"/>
  <c r="J51" i="15"/>
  <c r="J58" i="15"/>
  <c r="J65" i="15"/>
  <c r="J73" i="15"/>
  <c r="G94" i="15"/>
  <c r="J8" i="15"/>
  <c r="J6" i="15"/>
  <c r="J9" i="15"/>
  <c r="J20" i="15"/>
  <c r="J29" i="15"/>
  <c r="J35" i="15"/>
  <c r="J44" i="15"/>
  <c r="J49" i="15"/>
  <c r="J56" i="15"/>
  <c r="J67" i="15"/>
  <c r="J88" i="15"/>
  <c r="G85" i="15"/>
  <c r="J7" i="15"/>
  <c r="J31" i="15"/>
  <c r="J63" i="15"/>
  <c r="J17" i="15"/>
  <c r="J27" i="15"/>
  <c r="J26" i="15"/>
  <c r="J24" i="15"/>
  <c r="J43" i="15"/>
  <c r="J52" i="15"/>
  <c r="J61" i="15"/>
  <c r="J68" i="15"/>
  <c r="J39" i="15"/>
  <c r="J79" i="15"/>
  <c r="J12" i="15"/>
  <c r="J21" i="15"/>
  <c r="J33" i="15"/>
  <c r="J36" i="15"/>
  <c r="J45" i="15"/>
  <c r="J50" i="15"/>
  <c r="J59" i="15"/>
  <c r="J66" i="15"/>
  <c r="J74" i="15"/>
  <c r="J89" i="15"/>
  <c r="J23" i="15"/>
  <c r="J5" i="15"/>
  <c r="J10" i="15"/>
  <c r="J14" i="15"/>
  <c r="J18" i="15"/>
  <c r="J32" i="15"/>
  <c r="J30" i="15"/>
  <c r="J48" i="15"/>
  <c r="J57" i="15"/>
  <c r="J64" i="15"/>
  <c r="J77" i="15"/>
  <c r="J80" i="15"/>
  <c r="J92" i="15"/>
  <c r="J54" i="15"/>
  <c r="J82" i="15"/>
  <c r="J91" i="15"/>
  <c r="J19" i="15"/>
  <c r="J25" i="15"/>
  <c r="J40" i="15"/>
  <c r="J34" i="15"/>
  <c r="J55" i="15"/>
  <c r="J62" i="15"/>
  <c r="K19" i="15"/>
  <c r="P19" i="15" s="1"/>
  <c r="K21" i="15"/>
  <c r="P21" i="15" s="1"/>
  <c r="K23" i="15"/>
  <c r="P23" i="15" s="1"/>
  <c r="K22" i="15"/>
  <c r="N22" i="15" s="1"/>
  <c r="K25" i="15"/>
  <c r="P25" i="15" s="1"/>
  <c r="K33" i="15"/>
  <c r="P33" i="15" s="1"/>
  <c r="K31" i="15"/>
  <c r="P31" i="15" s="1"/>
  <c r="K38" i="15"/>
  <c r="N38" i="15" s="1"/>
  <c r="K40" i="15"/>
  <c r="K36" i="15"/>
  <c r="P36" i="15" s="1"/>
  <c r="K39" i="15"/>
  <c r="P39" i="15" s="1"/>
  <c r="K41" i="15"/>
  <c r="N41" i="15" s="1"/>
  <c r="K34" i="15"/>
  <c r="K45" i="15"/>
  <c r="P45" i="15" s="1"/>
  <c r="K53" i="15"/>
  <c r="P53" i="15" s="1"/>
  <c r="K69" i="15"/>
  <c r="N69" i="15" s="1"/>
  <c r="K76" i="15"/>
  <c r="K90" i="15"/>
  <c r="N90" i="15" s="1"/>
  <c r="K92" i="15"/>
  <c r="K97" i="15"/>
  <c r="P97" i="15" s="1"/>
  <c r="G6" i="15"/>
  <c r="G10" i="15"/>
  <c r="G14" i="15"/>
  <c r="G18" i="15"/>
  <c r="G22" i="15"/>
  <c r="G26" i="15"/>
  <c r="G30" i="15"/>
  <c r="G34" i="15"/>
  <c r="G38" i="15"/>
  <c r="G42" i="15"/>
  <c r="G46" i="15"/>
  <c r="G50" i="15"/>
  <c r="G54" i="15"/>
  <c r="G58" i="15"/>
  <c r="G62" i="15"/>
  <c r="G66" i="15"/>
  <c r="F71" i="15"/>
  <c r="G76" i="15"/>
  <c r="G81" i="15"/>
  <c r="G88" i="15"/>
  <c r="G95" i="15"/>
  <c r="K16" i="15"/>
  <c r="N16" i="15" s="1"/>
  <c r="K4" i="15"/>
  <c r="P4" i="15" s="1"/>
  <c r="K6" i="15"/>
  <c r="N6" i="15" s="1"/>
  <c r="K8" i="15"/>
  <c r="P8" i="15" s="1"/>
  <c r="K10" i="15"/>
  <c r="P10" i="15" s="1"/>
  <c r="K49" i="15"/>
  <c r="N49" i="15" s="1"/>
  <c r="K51" i="15"/>
  <c r="K47" i="15"/>
  <c r="P47" i="15" s="1"/>
  <c r="K55" i="15"/>
  <c r="P55" i="15" s="1"/>
  <c r="K57" i="15"/>
  <c r="N57" i="15" s="1"/>
  <c r="K59" i="15"/>
  <c r="P59" i="15" s="1"/>
  <c r="K61" i="15"/>
  <c r="P61" i="15" s="1"/>
  <c r="K63" i="15"/>
  <c r="P63" i="15" s="1"/>
  <c r="K67" i="15"/>
  <c r="P67" i="15" s="1"/>
  <c r="K65" i="15"/>
  <c r="P65" i="15" s="1"/>
  <c r="K72" i="15"/>
  <c r="P72" i="15" s="1"/>
  <c r="K74" i="15"/>
  <c r="P74" i="15" s="1"/>
  <c r="K83" i="15"/>
  <c r="P83" i="15" s="1"/>
  <c r="K88" i="15"/>
  <c r="N88" i="15" s="1"/>
  <c r="K95" i="15"/>
  <c r="P95" i="15" s="1"/>
  <c r="F7" i="15"/>
  <c r="F11" i="15"/>
  <c r="F15" i="15"/>
  <c r="F19" i="15"/>
  <c r="F23" i="15"/>
  <c r="F27" i="15"/>
  <c r="F31" i="15"/>
  <c r="F35" i="15"/>
  <c r="F39" i="15"/>
  <c r="F43" i="15"/>
  <c r="F47" i="15"/>
  <c r="F51" i="15"/>
  <c r="F55" i="15"/>
  <c r="F59" i="15"/>
  <c r="F63" i="15"/>
  <c r="F67" i="15"/>
  <c r="G71" i="15"/>
  <c r="F77" i="15"/>
  <c r="G82" i="15"/>
  <c r="G89" i="15"/>
  <c r="G96" i="15"/>
  <c r="P99" i="15"/>
  <c r="K15" i="15"/>
  <c r="P15" i="15" s="1"/>
  <c r="K14" i="15"/>
  <c r="P14" i="15" s="1"/>
  <c r="K12" i="15"/>
  <c r="N12" i="15" s="1"/>
  <c r="K81" i="15"/>
  <c r="N81" i="15" s="1"/>
  <c r="K86" i="15"/>
  <c r="P86" i="15" s="1"/>
  <c r="M95" i="15"/>
  <c r="M99" i="15"/>
  <c r="G7" i="15"/>
  <c r="G11" i="15"/>
  <c r="G15" i="15"/>
  <c r="G19" i="15"/>
  <c r="G23" i="15"/>
  <c r="G27" i="15"/>
  <c r="G31" i="15"/>
  <c r="G35" i="15"/>
  <c r="G39" i="15"/>
  <c r="G43" i="15"/>
  <c r="G47" i="15"/>
  <c r="G51" i="15"/>
  <c r="G55" i="15"/>
  <c r="G59" i="15"/>
  <c r="G63" i="15"/>
  <c r="G67" i="15"/>
  <c r="G72" i="15"/>
  <c r="G77" i="15"/>
  <c r="F83" i="15"/>
  <c r="G90" i="15"/>
  <c r="G97" i="15"/>
  <c r="P13" i="15"/>
  <c r="P17" i="15"/>
  <c r="K70" i="15"/>
  <c r="N70" i="15" s="1"/>
  <c r="K79" i="15"/>
  <c r="K93" i="15"/>
  <c r="G78" i="15"/>
  <c r="G83" i="15"/>
  <c r="P71" i="15"/>
  <c r="K27" i="15"/>
  <c r="N27" i="15" s="1"/>
  <c r="K20" i="15"/>
  <c r="N20" i="15" s="1"/>
  <c r="K28" i="15"/>
  <c r="N28" i="15" s="1"/>
  <c r="K18" i="15"/>
  <c r="P18" i="15" s="1"/>
  <c r="K26" i="15"/>
  <c r="P26" i="15" s="1"/>
  <c r="K29" i="15"/>
  <c r="P29" i="15" s="1"/>
  <c r="K42" i="15"/>
  <c r="P42" i="15" s="1"/>
  <c r="K32" i="15"/>
  <c r="P32" i="15" s="1"/>
  <c r="K24" i="15"/>
  <c r="N24" i="15" s="1"/>
  <c r="K35" i="15"/>
  <c r="N35" i="15" s="1"/>
  <c r="K37" i="15"/>
  <c r="P37" i="15" s="1"/>
  <c r="K30" i="15"/>
  <c r="N30" i="15" s="1"/>
  <c r="K43" i="15"/>
  <c r="N43" i="15" s="1"/>
  <c r="K44" i="15"/>
  <c r="P44" i="15" s="1"/>
  <c r="K46" i="15"/>
  <c r="N46" i="15" s="1"/>
  <c r="K48" i="15"/>
  <c r="P48" i="15" s="1"/>
  <c r="K77" i="15"/>
  <c r="P77" i="15" s="1"/>
  <c r="K84" i="15"/>
  <c r="K91" i="15"/>
  <c r="N91" i="15" s="1"/>
  <c r="K78" i="15"/>
  <c r="K80" i="15"/>
  <c r="K85" i="15"/>
  <c r="N85" i="15" s="1"/>
  <c r="K101" i="15"/>
  <c r="N101" i="15" s="1"/>
  <c r="M17" i="15"/>
  <c r="M44" i="15"/>
  <c r="M75" i="15"/>
  <c r="M20" i="15"/>
  <c r="M52" i="15"/>
  <c r="F89" i="15"/>
  <c r="M4" i="15"/>
  <c r="M18" i="15"/>
  <c r="M56" i="15"/>
  <c r="M72" i="15"/>
  <c r="M87" i="15"/>
  <c r="M91" i="15"/>
  <c r="M8" i="15"/>
  <c r="M29" i="15"/>
  <c r="M60" i="15"/>
  <c r="F85" i="15"/>
  <c r="M32" i="15"/>
  <c r="M64" i="15"/>
  <c r="M14" i="15"/>
  <c r="M35" i="15"/>
  <c r="M68" i="15"/>
  <c r="M83" i="15"/>
  <c r="M30" i="15"/>
  <c r="M79" i="15"/>
  <c r="F87" i="15"/>
  <c r="P78" i="15"/>
  <c r="P82" i="15"/>
  <c r="P91" i="15"/>
  <c r="P93" i="15"/>
  <c r="P100" i="15"/>
  <c r="P94" i="15"/>
  <c r="P79" i="15"/>
  <c r="N87" i="15"/>
  <c r="N80" i="15"/>
  <c r="N89" i="15"/>
  <c r="N96" i="15"/>
  <c r="F72" i="15"/>
  <c r="F76" i="15"/>
  <c r="F80" i="15"/>
  <c r="F84" i="15"/>
  <c r="F88" i="15"/>
  <c r="F92" i="15"/>
  <c r="F96" i="15"/>
  <c r="F93" i="15"/>
  <c r="F97" i="15"/>
  <c r="F99" i="15"/>
  <c r="F70" i="15"/>
  <c r="F74" i="15"/>
  <c r="F78" i="15"/>
  <c r="F82" i="15"/>
  <c r="F86" i="15"/>
  <c r="F90" i="15"/>
  <c r="F94" i="15"/>
  <c r="F98" i="15"/>
  <c r="F100" i="15"/>
  <c r="F95" i="15"/>
  <c r="J97" i="15"/>
  <c r="J99" i="15"/>
  <c r="J76" i="15"/>
  <c r="J78" i="15"/>
  <c r="J93" i="15"/>
  <c r="J95" i="15"/>
  <c r="J101" i="15"/>
  <c r="J69" i="15"/>
  <c r="J71" i="15"/>
  <c r="J84" i="15"/>
  <c r="J86" i="15"/>
  <c r="J90" i="15"/>
  <c r="J102" i="15"/>
  <c r="J94" i="15"/>
  <c r="J103" i="15"/>
  <c r="J81" i="15"/>
  <c r="J83" i="15"/>
  <c r="J96" i="15"/>
  <c r="J98" i="15"/>
  <c r="J100" i="15"/>
  <c r="J70" i="15"/>
  <c r="J72" i="15"/>
  <c r="J85" i="15"/>
  <c r="I53" i="15"/>
  <c r="I6" i="15"/>
  <c r="I9" i="15"/>
  <c r="I32" i="15"/>
  <c r="I40" i="15"/>
  <c r="I37" i="15"/>
  <c r="I41" i="15"/>
  <c r="I64" i="15"/>
  <c r="I65" i="15"/>
  <c r="I70" i="15"/>
  <c r="I73" i="15"/>
  <c r="I87" i="15"/>
  <c r="I90" i="15"/>
  <c r="I93" i="15"/>
  <c r="I96" i="15"/>
  <c r="I20" i="15"/>
  <c r="I23" i="15"/>
  <c r="I26" i="15"/>
  <c r="I33" i="15"/>
  <c r="I52" i="15"/>
  <c r="I55" i="15"/>
  <c r="I58" i="15"/>
  <c r="I61" i="15"/>
  <c r="I78" i="15"/>
  <c r="I81" i="15"/>
  <c r="I84" i="15"/>
  <c r="I47" i="15"/>
  <c r="I8" i="15"/>
  <c r="I11" i="15"/>
  <c r="I12" i="15"/>
  <c r="I16" i="15"/>
  <c r="I30" i="15"/>
  <c r="I34" i="15"/>
  <c r="I46" i="15"/>
  <c r="I49" i="15"/>
  <c r="I72" i="15"/>
  <c r="I95" i="15"/>
  <c r="I98" i="15"/>
  <c r="I103" i="15"/>
  <c r="I5" i="15"/>
  <c r="I24" i="15"/>
  <c r="I36" i="15"/>
  <c r="I60" i="15"/>
  <c r="I63" i="15"/>
  <c r="I66" i="15"/>
  <c r="I69" i="15"/>
  <c r="I83" i="15"/>
  <c r="I86" i="15"/>
  <c r="I89" i="15"/>
  <c r="I92" i="15"/>
  <c r="I102" i="15"/>
  <c r="I44" i="15"/>
  <c r="I31" i="15"/>
  <c r="I17" i="15"/>
  <c r="I19" i="15"/>
  <c r="I28" i="15"/>
  <c r="I22" i="15"/>
  <c r="I48" i="15"/>
  <c r="I51" i="15"/>
  <c r="I54" i="15"/>
  <c r="I57" i="15"/>
  <c r="I77" i="15"/>
  <c r="I80" i="15"/>
  <c r="I21" i="15"/>
  <c r="I76" i="15"/>
  <c r="I7" i="15"/>
  <c r="I10" i="15"/>
  <c r="I13" i="15"/>
  <c r="I35" i="15"/>
  <c r="I39" i="15"/>
  <c r="I43" i="15"/>
  <c r="I45" i="15"/>
  <c r="I68" i="15"/>
  <c r="I71" i="15"/>
  <c r="I74" i="15"/>
  <c r="I91" i="15"/>
  <c r="I94" i="15"/>
  <c r="I97" i="15"/>
  <c r="I50" i="15"/>
  <c r="I29" i="15"/>
  <c r="I4" i="15"/>
  <c r="I18" i="15"/>
  <c r="I25" i="15"/>
  <c r="I42" i="15"/>
  <c r="I38" i="15"/>
  <c r="I56" i="15"/>
  <c r="I59" i="15"/>
  <c r="I62" i="15"/>
  <c r="I67" i="15"/>
  <c r="I79" i="15"/>
  <c r="I82" i="15"/>
  <c r="I85" i="15"/>
  <c r="R98" i="15"/>
  <c r="S98" i="15" s="1"/>
  <c r="M11" i="15"/>
  <c r="M15" i="15"/>
  <c r="M19" i="15"/>
  <c r="M23" i="15"/>
  <c r="M25" i="15"/>
  <c r="M31" i="15"/>
  <c r="M40" i="15"/>
  <c r="M39" i="15"/>
  <c r="M34" i="15"/>
  <c r="M53" i="15"/>
  <c r="M51" i="15"/>
  <c r="M55" i="15"/>
  <c r="M59" i="15"/>
  <c r="M63" i="15"/>
  <c r="M65" i="15"/>
  <c r="M71" i="15"/>
  <c r="M98" i="15"/>
  <c r="M101" i="15"/>
  <c r="M78" i="15"/>
  <c r="M82" i="15"/>
  <c r="M86" i="15"/>
  <c r="M90" i="15"/>
  <c r="M94" i="15"/>
  <c r="M6" i="15"/>
  <c r="M12" i="15"/>
  <c r="M28" i="15"/>
  <c r="M42" i="15"/>
  <c r="M24" i="15"/>
  <c r="M37" i="15"/>
  <c r="M43" i="15"/>
  <c r="M46" i="15"/>
  <c r="M50" i="15"/>
  <c r="M54" i="15"/>
  <c r="M58" i="15"/>
  <c r="M62" i="15"/>
  <c r="M66" i="15"/>
  <c r="M70" i="15"/>
  <c r="M74" i="15"/>
  <c r="M7" i="15"/>
  <c r="M10" i="15"/>
  <c r="M27" i="15"/>
  <c r="M26" i="15"/>
  <c r="M77" i="15"/>
  <c r="M81" i="15"/>
  <c r="M85" i="15"/>
  <c r="M89" i="15"/>
  <c r="M93" i="15"/>
  <c r="M97" i="15"/>
  <c r="M100" i="15"/>
  <c r="M9" i="15"/>
  <c r="M16" i="15"/>
  <c r="M22" i="15"/>
  <c r="M38" i="15"/>
  <c r="M36" i="15"/>
  <c r="M41" i="15"/>
  <c r="M45" i="15"/>
  <c r="M49" i="15"/>
  <c r="M47" i="15"/>
  <c r="M57" i="15"/>
  <c r="M61" i="15"/>
  <c r="M67" i="15"/>
  <c r="M69" i="15"/>
  <c r="M73" i="15"/>
  <c r="M5" i="15"/>
  <c r="M13" i="15"/>
  <c r="M21" i="15"/>
  <c r="M33" i="15"/>
  <c r="M76" i="15"/>
  <c r="M80" i="15"/>
  <c r="M84" i="15"/>
  <c r="M88" i="15"/>
  <c r="M92" i="15"/>
  <c r="K98" i="15"/>
  <c r="P98" i="15" s="1"/>
  <c r="G98" i="15"/>
  <c r="G99" i="15"/>
  <c r="G100" i="15"/>
  <c r="AA103" i="15"/>
  <c r="Y102" i="15"/>
  <c r="Z102" i="15"/>
  <c r="Y103" i="15"/>
  <c r="Q103" i="15"/>
  <c r="N102" i="15"/>
  <c r="O102" i="15" s="1"/>
  <c r="N103" i="15"/>
  <c r="O103" i="15" s="1"/>
  <c r="P43" i="15"/>
  <c r="P24" i="15"/>
  <c r="AA14" i="15"/>
  <c r="N56" i="15"/>
  <c r="AB57" i="15"/>
  <c r="P35" i="15"/>
  <c r="P27" i="15"/>
  <c r="N93" i="15"/>
  <c r="Y9" i="15"/>
  <c r="AB60" i="15"/>
  <c r="P20" i="15"/>
  <c r="N31" i="15"/>
  <c r="N61" i="15"/>
  <c r="AA68" i="15"/>
  <c r="AB24" i="15"/>
  <c r="Y36" i="15"/>
  <c r="Z30" i="15"/>
  <c r="AA56" i="15"/>
  <c r="AB98" i="15"/>
  <c r="P5" i="15"/>
  <c r="Y24" i="15"/>
  <c r="Y27" i="15"/>
  <c r="P57" i="15"/>
  <c r="P60" i="15"/>
  <c r="AB14" i="15"/>
  <c r="AA30" i="15"/>
  <c r="N55" i="15"/>
  <c r="Y97" i="15"/>
  <c r="Y17" i="15"/>
  <c r="AA20" i="15"/>
  <c r="N53" i="15"/>
  <c r="P58" i="15"/>
  <c r="Y60" i="15"/>
  <c r="Y62" i="15"/>
  <c r="AB71" i="15"/>
  <c r="AB73" i="15"/>
  <c r="AB79" i="15"/>
  <c r="Y81" i="15"/>
  <c r="AB87" i="15"/>
  <c r="AB92" i="15"/>
  <c r="N14" i="15"/>
  <c r="AA18" i="15"/>
  <c r="P30" i="15"/>
  <c r="AA44" i="15"/>
  <c r="Z47" i="15"/>
  <c r="AB95" i="15"/>
  <c r="N4" i="15"/>
  <c r="P6" i="15"/>
  <c r="AB44" i="15"/>
  <c r="N72" i="15"/>
  <c r="AA90" i="15"/>
  <c r="N99" i="15"/>
  <c r="Z43" i="15"/>
  <c r="AA63" i="15"/>
  <c r="Y14" i="15"/>
  <c r="Y16" i="15"/>
  <c r="Y22" i="15"/>
  <c r="Y29" i="15"/>
  <c r="Y42" i="15"/>
  <c r="Y54" i="15"/>
  <c r="AB55" i="15"/>
  <c r="AB80" i="15"/>
  <c r="Y10" i="15"/>
  <c r="AB16" i="15"/>
  <c r="AA29" i="15"/>
  <c r="AA52" i="15"/>
  <c r="AA54" i="15"/>
  <c r="Y61" i="15"/>
  <c r="N71" i="15"/>
  <c r="AA72" i="15"/>
  <c r="Y83" i="15"/>
  <c r="AB29" i="15"/>
  <c r="Y89" i="15"/>
  <c r="Y12" i="15"/>
  <c r="Y20" i="15"/>
  <c r="Y18" i="15"/>
  <c r="AB22" i="15"/>
  <c r="P41" i="15"/>
  <c r="AB52" i="15"/>
  <c r="Y56" i="15"/>
  <c r="AA62" i="15"/>
  <c r="AB63" i="15"/>
  <c r="AB68" i="15"/>
  <c r="Y72" i="15"/>
  <c r="AB76" i="15"/>
  <c r="AA83" i="15"/>
  <c r="P87" i="15"/>
  <c r="AB88" i="15"/>
  <c r="AA82" i="15"/>
  <c r="N98" i="15"/>
  <c r="Y99" i="15"/>
  <c r="AB9" i="15"/>
  <c r="N15" i="15"/>
  <c r="AB20" i="15"/>
  <c r="Y28" i="15"/>
  <c r="AB18" i="15"/>
  <c r="N26" i="15"/>
  <c r="O26" i="15" s="1"/>
  <c r="Y33" i="15"/>
  <c r="Z24" i="15"/>
  <c r="Z36" i="15"/>
  <c r="Z41" i="15"/>
  <c r="AA43" i="15"/>
  <c r="Y44" i="15"/>
  <c r="AB49" i="15"/>
  <c r="N52" i="15"/>
  <c r="N47" i="15"/>
  <c r="AA55" i="15"/>
  <c r="N64" i="15"/>
  <c r="AB67" i="15"/>
  <c r="N68" i="15"/>
  <c r="Y70" i="15"/>
  <c r="AA71" i="15"/>
  <c r="N75" i="15"/>
  <c r="N77" i="15"/>
  <c r="N79" i="15"/>
  <c r="AB81" i="15"/>
  <c r="AB82" i="15"/>
  <c r="AA87" i="15"/>
  <c r="P89" i="15"/>
  <c r="Y91" i="15"/>
  <c r="N95" i="15"/>
  <c r="N100" i="15"/>
  <c r="Y8" i="15"/>
  <c r="Z38" i="15"/>
  <c r="Y35" i="15"/>
  <c r="AA70" i="15"/>
  <c r="AA91" i="15"/>
  <c r="AA8" i="15"/>
  <c r="N10" i="15"/>
  <c r="Y13" i="15"/>
  <c r="N23" i="15"/>
  <c r="P22" i="15"/>
  <c r="AA35" i="15"/>
  <c r="Y46" i="15"/>
  <c r="N50" i="15"/>
  <c r="AA60" i="15"/>
  <c r="AB61" i="15"/>
  <c r="N66" i="15"/>
  <c r="Y80" i="15"/>
  <c r="N82" i="15"/>
  <c r="N83" i="15"/>
  <c r="AB84" i="15"/>
  <c r="AB96" i="15"/>
  <c r="Y26" i="15"/>
  <c r="Y32" i="15"/>
  <c r="AB35" i="15"/>
  <c r="Y37" i="15"/>
  <c r="Y34" i="15"/>
  <c r="AA46" i="15"/>
  <c r="Y64" i="15"/>
  <c r="Y69" i="15"/>
  <c r="AB90" i="15"/>
  <c r="P9" i="15"/>
  <c r="Y21" i="15"/>
  <c r="AA32" i="15"/>
  <c r="AB40" i="15"/>
  <c r="AA37" i="15"/>
  <c r="N45" i="15"/>
  <c r="AA48" i="15"/>
  <c r="Y52" i="15"/>
  <c r="Y47" i="15"/>
  <c r="AA64" i="15"/>
  <c r="Y68" i="15"/>
  <c r="AB69" i="15"/>
  <c r="AA79" i="15"/>
  <c r="AA95" i="15"/>
  <c r="Z10" i="15"/>
  <c r="AB53" i="15"/>
  <c r="Z75" i="15"/>
  <c r="Y75" i="15"/>
  <c r="AB75" i="15"/>
  <c r="Z21" i="15"/>
  <c r="Z8" i="15"/>
  <c r="AB10" i="15"/>
  <c r="Y11" i="15"/>
  <c r="N13" i="15"/>
  <c r="AA13" i="15"/>
  <c r="Z17" i="15"/>
  <c r="AB27" i="15"/>
  <c r="Y19" i="15"/>
  <c r="AA21" i="15"/>
  <c r="AB26" i="15"/>
  <c r="Y25" i="15"/>
  <c r="N33" i="15"/>
  <c r="AA33" i="15"/>
  <c r="Z32" i="15"/>
  <c r="AB36" i="15"/>
  <c r="Z39" i="15"/>
  <c r="Y30" i="15"/>
  <c r="Y43" i="15"/>
  <c r="N48" i="15"/>
  <c r="AB47" i="15"/>
  <c r="P76" i="15"/>
  <c r="N76" i="15"/>
  <c r="P92" i="15"/>
  <c r="N92" i="15"/>
  <c r="Z23" i="15"/>
  <c r="AB45" i="15"/>
  <c r="Y51" i="15"/>
  <c r="AB51" i="15"/>
  <c r="AA51" i="15"/>
  <c r="AA15" i="15"/>
  <c r="Z27" i="15"/>
  <c r="AA23" i="15"/>
  <c r="Y86" i="15"/>
  <c r="AB86" i="15"/>
  <c r="AA86" i="15"/>
  <c r="AB13" i="15"/>
  <c r="N17" i="15"/>
  <c r="AA17" i="15"/>
  <c r="Z19" i="15"/>
  <c r="N18" i="15"/>
  <c r="Z25" i="15"/>
  <c r="AB33" i="15"/>
  <c r="N32" i="15"/>
  <c r="AA39" i="15"/>
  <c r="AB58" i="15"/>
  <c r="AA58" i="15"/>
  <c r="Y58" i="15"/>
  <c r="AA75" i="15"/>
  <c r="AA53" i="15"/>
  <c r="Z26" i="15"/>
  <c r="AB31" i="15"/>
  <c r="N8" i="15"/>
  <c r="N7" i="15"/>
  <c r="N11" i="15"/>
  <c r="AA11" i="15"/>
  <c r="Z12" i="15"/>
  <c r="N19" i="15"/>
  <c r="AA19" i="15"/>
  <c r="Z28" i="15"/>
  <c r="N25" i="15"/>
  <c r="AA25" i="15"/>
  <c r="Z42" i="15"/>
  <c r="AA38" i="15"/>
  <c r="N37" i="15"/>
  <c r="N39" i="15"/>
  <c r="AB39" i="15"/>
  <c r="P34" i="15"/>
  <c r="N34" i="15"/>
  <c r="Z34" i="15"/>
  <c r="Y45" i="15"/>
  <c r="Z50" i="15"/>
  <c r="Y65" i="15"/>
  <c r="AB65" i="15"/>
  <c r="AA65" i="15"/>
  <c r="Z86" i="15"/>
  <c r="AA31" i="15"/>
  <c r="Y59" i="15"/>
  <c r="AB59" i="15"/>
  <c r="AA59" i="15"/>
  <c r="AB15" i="15"/>
  <c r="Z11" i="15"/>
  <c r="Z9" i="15"/>
  <c r="AA12" i="15"/>
  <c r="Z16" i="15"/>
  <c r="AA28" i="15"/>
  <c r="Z22" i="15"/>
  <c r="AA42" i="15"/>
  <c r="AB38" i="15"/>
  <c r="Y40" i="15"/>
  <c r="AA41" i="15"/>
  <c r="Y41" i="15"/>
  <c r="AB34" i="15"/>
  <c r="Z45" i="15"/>
  <c r="Y48" i="15"/>
  <c r="AA50" i="15"/>
  <c r="P51" i="15"/>
  <c r="N51" i="15"/>
  <c r="Y78" i="15"/>
  <c r="AB78" i="15"/>
  <c r="AA78" i="15"/>
  <c r="Y94" i="15"/>
  <c r="AB94" i="15"/>
  <c r="AA94" i="15"/>
  <c r="Z15" i="15"/>
  <c r="Z31" i="15"/>
  <c r="AB23" i="15"/>
  <c r="P40" i="15"/>
  <c r="N40" i="15"/>
  <c r="Z40" i="15"/>
  <c r="Z53" i="15"/>
  <c r="Z48" i="15"/>
  <c r="AB50" i="15"/>
  <c r="Z65" i="15"/>
  <c r="P73" i="15"/>
  <c r="N73" i="15"/>
  <c r="P84" i="15"/>
  <c r="N84" i="15"/>
  <c r="Z37" i="15"/>
  <c r="Z46" i="15"/>
  <c r="Y49" i="15"/>
  <c r="Z54" i="15"/>
  <c r="AB56" i="15"/>
  <c r="Y57" i="15"/>
  <c r="N59" i="15"/>
  <c r="Z62" i="15"/>
  <c r="AB64" i="15"/>
  <c r="Y67" i="15"/>
  <c r="N65" i="15"/>
  <c r="Z70" i="15"/>
  <c r="AB72" i="15"/>
  <c r="Y73" i="15"/>
  <c r="Y76" i="15"/>
  <c r="N78" i="15"/>
  <c r="P80" i="15"/>
  <c r="Z81" i="15"/>
  <c r="AB83" i="15"/>
  <c r="Y84" i="15"/>
  <c r="N86" i="15"/>
  <c r="P88" i="15"/>
  <c r="Z89" i="15"/>
  <c r="AB91" i="15"/>
  <c r="Y92" i="15"/>
  <c r="N94" i="15"/>
  <c r="P96" i="15"/>
  <c r="Z97" i="15"/>
  <c r="Z99" i="15"/>
  <c r="Z49" i="15"/>
  <c r="N54" i="15"/>
  <c r="Z57" i="15"/>
  <c r="N62" i="15"/>
  <c r="Z67" i="15"/>
  <c r="Z73" i="15"/>
  <c r="Z76" i="15"/>
  <c r="Y79" i="15"/>
  <c r="Z84" i="15"/>
  <c r="Y87" i="15"/>
  <c r="AA89" i="15"/>
  <c r="Z92" i="15"/>
  <c r="Y95" i="15"/>
  <c r="N97" i="15"/>
  <c r="AA97" i="15"/>
  <c r="AA99" i="15"/>
  <c r="Y100" i="15"/>
  <c r="Y55" i="15"/>
  <c r="Y63" i="15"/>
  <c r="Y71" i="15"/>
  <c r="Y82" i="15"/>
  <c r="Y90" i="15"/>
  <c r="Y98" i="15"/>
  <c r="Z100" i="15"/>
  <c r="Y66" i="15"/>
  <c r="Y74" i="15"/>
  <c r="Y77" i="15"/>
  <c r="Y85" i="15"/>
  <c r="Y93" i="15"/>
  <c r="Z98" i="15"/>
  <c r="AA100" i="15"/>
  <c r="Y101" i="15"/>
  <c r="Z66" i="15"/>
  <c r="Z74" i="15"/>
  <c r="Z77" i="15"/>
  <c r="Z85" i="15"/>
  <c r="Y88" i="15"/>
  <c r="Z93" i="15"/>
  <c r="Y96" i="15"/>
  <c r="Z101" i="15"/>
  <c r="Z61" i="15"/>
  <c r="AA66" i="15"/>
  <c r="Z69" i="15"/>
  <c r="AA74" i="15"/>
  <c r="AA77" i="15"/>
  <c r="Z80" i="15"/>
  <c r="AA85" i="15"/>
  <c r="Z88" i="15"/>
  <c r="AA93" i="15"/>
  <c r="Z96" i="15"/>
  <c r="AA101" i="15"/>
  <c r="N21" i="15" l="1"/>
  <c r="N36" i="15"/>
  <c r="P16" i="15"/>
  <c r="P70" i="15"/>
  <c r="P28" i="15"/>
  <c r="N74" i="15"/>
  <c r="P90" i="15"/>
  <c r="N67" i="15"/>
  <c r="P69" i="15"/>
  <c r="N42" i="15"/>
  <c r="P46" i="15"/>
  <c r="N29" i="15"/>
  <c r="P85" i="15"/>
  <c r="P81" i="15"/>
  <c r="P49" i="15"/>
  <c r="N44" i="15"/>
  <c r="O44" i="15" s="1"/>
  <c r="P12" i="15"/>
  <c r="P38" i="15"/>
  <c r="N63" i="15"/>
  <c r="P101" i="15"/>
  <c r="H2" i="15" l="1"/>
  <c r="H16" i="15" s="1"/>
  <c r="H42" i="15" l="1"/>
  <c r="H20" i="15"/>
  <c r="H75" i="15"/>
  <c r="H95" i="15"/>
  <c r="H7" i="15"/>
  <c r="H14" i="15"/>
  <c r="H6" i="15"/>
  <c r="H74" i="15"/>
  <c r="H66" i="15"/>
  <c r="H58" i="15"/>
  <c r="H46" i="15"/>
  <c r="H21" i="15"/>
  <c r="H94" i="15"/>
  <c r="H86" i="15"/>
  <c r="H78" i="15"/>
  <c r="H31" i="15"/>
  <c r="H19" i="15"/>
  <c r="H99" i="15"/>
  <c r="H40" i="15"/>
  <c r="H35" i="15"/>
  <c r="H96" i="15"/>
  <c r="H80" i="15"/>
  <c r="H10" i="15"/>
  <c r="H22" i="15"/>
  <c r="H87" i="15"/>
  <c r="H79" i="15"/>
  <c r="H18" i="15"/>
  <c r="H30" i="15"/>
  <c r="H73" i="15"/>
  <c r="H67" i="15"/>
  <c r="H57" i="15"/>
  <c r="H44" i="15"/>
  <c r="H15" i="15"/>
  <c r="H93" i="15"/>
  <c r="H85" i="15"/>
  <c r="H77" i="15"/>
  <c r="H27" i="15"/>
  <c r="H13" i="15"/>
  <c r="H54" i="15"/>
  <c r="H38" i="15"/>
  <c r="H100" i="15"/>
  <c r="H68" i="15"/>
  <c r="H88" i="15"/>
  <c r="H43" i="15"/>
  <c r="H49" i="15"/>
  <c r="H56" i="15"/>
  <c r="H84" i="15"/>
  <c r="H33" i="15"/>
  <c r="H60" i="15"/>
  <c r="H36" i="15"/>
  <c r="H65" i="15"/>
  <c r="H64" i="15"/>
  <c r="H9" i="15"/>
  <c r="H11" i="15"/>
  <c r="H8" i="15"/>
  <c r="H71" i="15"/>
  <c r="H63" i="15"/>
  <c r="H55" i="15"/>
  <c r="H41" i="15"/>
  <c r="H101" i="15"/>
  <c r="H91" i="15"/>
  <c r="H83" i="15"/>
  <c r="H24" i="15"/>
  <c r="H32" i="15"/>
  <c r="H4" i="15"/>
  <c r="H48" i="15"/>
  <c r="H25" i="15"/>
  <c r="H69" i="15"/>
  <c r="H52" i="15"/>
  <c r="H51" i="15"/>
  <c r="H12" i="15"/>
  <c r="H59" i="15"/>
  <c r="H72" i="15"/>
  <c r="H34" i="15"/>
  <c r="H92" i="15"/>
  <c r="H76" i="15"/>
  <c r="H50" i="15"/>
  <c r="H70" i="15"/>
  <c r="H62" i="15"/>
  <c r="H47" i="15"/>
  <c r="H39" i="15"/>
  <c r="H98" i="15"/>
  <c r="H90" i="15"/>
  <c r="H82" i="15"/>
  <c r="H29" i="15"/>
  <c r="H17" i="15"/>
  <c r="H37" i="15"/>
  <c r="H53" i="15"/>
  <c r="H23" i="15"/>
  <c r="H61" i="15"/>
  <c r="H97" i="15"/>
  <c r="H89" i="15"/>
  <c r="H81" i="15"/>
  <c r="H28" i="15"/>
  <c r="H5" i="15"/>
  <c r="H26" i="15"/>
  <c r="H45" i="15"/>
  <c r="L2" i="15"/>
  <c r="L84" i="15" s="1"/>
  <c r="L72" i="15" l="1"/>
  <c r="Q72" i="15" s="1"/>
  <c r="L6" i="15"/>
  <c r="O6" i="15" s="1"/>
  <c r="L23" i="15"/>
  <c r="Q23" i="15" s="1"/>
  <c r="L100" i="15"/>
  <c r="Q100" i="15" s="1"/>
  <c r="L5" i="15"/>
  <c r="O5" i="15" s="1"/>
  <c r="L55" i="15"/>
  <c r="Q55" i="15" s="1"/>
  <c r="L71" i="15"/>
  <c r="Q71" i="15" s="1"/>
  <c r="O84" i="15"/>
  <c r="Q84" i="15"/>
  <c r="L96" i="15"/>
  <c r="L47" i="15"/>
  <c r="L4" i="15"/>
  <c r="L43" i="15"/>
  <c r="L42" i="15"/>
  <c r="L57" i="15"/>
  <c r="L38" i="15"/>
  <c r="O72" i="15"/>
  <c r="L64" i="15"/>
  <c r="L13" i="15"/>
  <c r="L68" i="15"/>
  <c r="L17" i="15"/>
  <c r="L26" i="15"/>
  <c r="Q26" i="15" s="1"/>
  <c r="L34" i="15"/>
  <c r="L51" i="15"/>
  <c r="L62" i="15"/>
  <c r="L27" i="15"/>
  <c r="L49" i="15"/>
  <c r="L16" i="15"/>
  <c r="L87" i="15"/>
  <c r="L30" i="15"/>
  <c r="L52" i="15"/>
  <c r="L59" i="15"/>
  <c r="L7" i="15"/>
  <c r="L18" i="15"/>
  <c r="L67" i="15"/>
  <c r="L15" i="15"/>
  <c r="L14" i="15"/>
  <c r="L46" i="15"/>
  <c r="L37" i="15"/>
  <c r="L88" i="15"/>
  <c r="L35" i="15"/>
  <c r="L11" i="15"/>
  <c r="L77" i="15"/>
  <c r="L81" i="15"/>
  <c r="L8" i="15"/>
  <c r="L78" i="15"/>
  <c r="L36" i="15"/>
  <c r="L40" i="15"/>
  <c r="L39" i="15"/>
  <c r="L9" i="15"/>
  <c r="L48" i="15"/>
  <c r="L86" i="15"/>
  <c r="L70" i="15"/>
  <c r="L31" i="15"/>
  <c r="L79" i="15"/>
  <c r="L53" i="15"/>
  <c r="L29" i="15"/>
  <c r="L50" i="15"/>
  <c r="L63" i="15"/>
  <c r="L98" i="15"/>
  <c r="L28" i="15"/>
  <c r="L32" i="15"/>
  <c r="L12" i="15"/>
  <c r="L76" i="15"/>
  <c r="L69" i="15"/>
  <c r="L33" i="15"/>
  <c r="L83" i="15"/>
  <c r="L61" i="15"/>
  <c r="L41" i="15"/>
  <c r="L56" i="15"/>
  <c r="L74" i="15"/>
  <c r="L99" i="15"/>
  <c r="L82" i="15"/>
  <c r="L44" i="15"/>
  <c r="Q44" i="15" s="1"/>
  <c r="L19" i="15"/>
  <c r="L92" i="15"/>
  <c r="L58" i="15"/>
  <c r="Q58" i="15" s="1"/>
  <c r="L75" i="15"/>
  <c r="L24" i="15"/>
  <c r="L94" i="15"/>
  <c r="L21" i="15"/>
  <c r="L25" i="15"/>
  <c r="L66" i="15"/>
  <c r="L101" i="15"/>
  <c r="L80" i="15"/>
  <c r="L45" i="15"/>
  <c r="L20" i="15"/>
  <c r="L73" i="15"/>
  <c r="L85" i="15"/>
  <c r="L97" i="15"/>
  <c r="L54" i="15"/>
  <c r="L22" i="15"/>
  <c r="L90" i="15"/>
  <c r="L60" i="15"/>
  <c r="L95" i="15"/>
  <c r="L91" i="15"/>
  <c r="L93" i="15"/>
  <c r="L65" i="15"/>
  <c r="L10" i="15"/>
  <c r="L89" i="15"/>
  <c r="O55" i="15" l="1"/>
  <c r="Q6" i="15"/>
  <c r="O23" i="15"/>
  <c r="O71" i="15"/>
  <c r="O100" i="15"/>
  <c r="Q5" i="15"/>
  <c r="O63" i="15"/>
  <c r="Q63" i="15"/>
  <c r="O77" i="15"/>
  <c r="Q77" i="15"/>
  <c r="O85" i="15"/>
  <c r="Q85" i="15"/>
  <c r="O7" i="15"/>
  <c r="Q7" i="15"/>
  <c r="Q91" i="15"/>
  <c r="O91" i="15"/>
  <c r="Q73" i="15"/>
  <c r="O73" i="15"/>
  <c r="O94" i="15"/>
  <c r="Q94" i="15"/>
  <c r="O99" i="15"/>
  <c r="Q99" i="15"/>
  <c r="O76" i="15"/>
  <c r="Q76" i="15"/>
  <c r="O53" i="15"/>
  <c r="Q53" i="15"/>
  <c r="Q40" i="15"/>
  <c r="O40" i="15"/>
  <c r="Q88" i="15"/>
  <c r="O88" i="15"/>
  <c r="O59" i="15"/>
  <c r="Q59" i="15"/>
  <c r="Q51" i="15"/>
  <c r="O51" i="15"/>
  <c r="O38" i="15"/>
  <c r="Q38" i="15"/>
  <c r="O4" i="15"/>
  <c r="Q4" i="15"/>
  <c r="Q10" i="15"/>
  <c r="O10" i="15"/>
  <c r="Q48" i="15"/>
  <c r="O48" i="15"/>
  <c r="O82" i="15"/>
  <c r="Q82" i="15"/>
  <c r="Q35" i="15"/>
  <c r="O35" i="15"/>
  <c r="O62" i="15"/>
  <c r="Q62" i="15"/>
  <c r="Q95" i="15"/>
  <c r="O95" i="15"/>
  <c r="Q20" i="15"/>
  <c r="O20" i="15"/>
  <c r="Q24" i="15"/>
  <c r="O24" i="15"/>
  <c r="O74" i="15"/>
  <c r="Q74" i="15"/>
  <c r="Q12" i="15"/>
  <c r="O12" i="15"/>
  <c r="O79" i="15"/>
  <c r="Q79" i="15"/>
  <c r="O36" i="15"/>
  <c r="Q36" i="15"/>
  <c r="O37" i="15"/>
  <c r="Q37" i="15"/>
  <c r="O52" i="15"/>
  <c r="Q52" i="15"/>
  <c r="O34" i="15"/>
  <c r="Q34" i="15"/>
  <c r="O66" i="15"/>
  <c r="Q66" i="15"/>
  <c r="Q49" i="15"/>
  <c r="O49" i="15"/>
  <c r="O21" i="15"/>
  <c r="Q21" i="15"/>
  <c r="Q39" i="15"/>
  <c r="O39" i="15"/>
  <c r="O45" i="15"/>
  <c r="Q45" i="15"/>
  <c r="O75" i="15"/>
  <c r="Q75" i="15"/>
  <c r="O56" i="15"/>
  <c r="Q56" i="15"/>
  <c r="O32" i="15"/>
  <c r="Q32" i="15"/>
  <c r="O31" i="15"/>
  <c r="Q31" i="15"/>
  <c r="O78" i="15"/>
  <c r="Q78" i="15"/>
  <c r="Q46" i="15"/>
  <c r="O46" i="15"/>
  <c r="Q30" i="15"/>
  <c r="O30" i="15"/>
  <c r="O57" i="15"/>
  <c r="Q57" i="15"/>
  <c r="Q47" i="15"/>
  <c r="O47" i="15"/>
  <c r="O19" i="15"/>
  <c r="Q19" i="15"/>
  <c r="O93" i="15"/>
  <c r="Q93" i="15"/>
  <c r="O29" i="15"/>
  <c r="Q29" i="15"/>
  <c r="Q41" i="15"/>
  <c r="O41" i="15"/>
  <c r="Q28" i="15"/>
  <c r="O28" i="15"/>
  <c r="Q70" i="15"/>
  <c r="O70" i="15"/>
  <c r="O8" i="15"/>
  <c r="Q8" i="15"/>
  <c r="Q14" i="15"/>
  <c r="O14" i="15"/>
  <c r="Q87" i="15"/>
  <c r="O87" i="15"/>
  <c r="Q17" i="15"/>
  <c r="O17" i="15"/>
  <c r="Q54" i="15"/>
  <c r="O54" i="15"/>
  <c r="Q67" i="15"/>
  <c r="O67" i="15"/>
  <c r="Q69" i="15"/>
  <c r="O69" i="15"/>
  <c r="O60" i="15"/>
  <c r="Q60" i="15"/>
  <c r="Q90" i="15"/>
  <c r="O90" i="15"/>
  <c r="Q80" i="15"/>
  <c r="O80" i="15"/>
  <c r="O89" i="15"/>
  <c r="Q89" i="15"/>
  <c r="O22" i="15"/>
  <c r="Q22" i="15"/>
  <c r="Q101" i="15"/>
  <c r="O101" i="15"/>
  <c r="O92" i="15"/>
  <c r="Q92" i="15"/>
  <c r="O61" i="15"/>
  <c r="Q61" i="15"/>
  <c r="O98" i="15"/>
  <c r="Q98" i="15"/>
  <c r="O86" i="15"/>
  <c r="Q86" i="15"/>
  <c r="Q81" i="15"/>
  <c r="O81" i="15"/>
  <c r="O15" i="15"/>
  <c r="Q15" i="15"/>
  <c r="O16" i="15"/>
  <c r="Q16" i="15"/>
  <c r="O68" i="15"/>
  <c r="Q68" i="15"/>
  <c r="O42" i="15"/>
  <c r="Q42" i="15"/>
  <c r="O96" i="15"/>
  <c r="Q96" i="15"/>
  <c r="O83" i="15"/>
  <c r="Q83" i="15"/>
  <c r="Q13" i="15"/>
  <c r="O13" i="15"/>
  <c r="Q65" i="15"/>
  <c r="O65" i="15"/>
  <c r="Q97" i="15"/>
  <c r="O97" i="15"/>
  <c r="O25" i="15"/>
  <c r="Q25" i="15"/>
  <c r="O33" i="15"/>
  <c r="Q33" i="15"/>
  <c r="O50" i="15"/>
  <c r="Q50" i="15"/>
  <c r="O9" i="15"/>
  <c r="Q9" i="15"/>
  <c r="O11" i="15"/>
  <c r="Q11" i="15"/>
  <c r="O18" i="15"/>
  <c r="Q18" i="15"/>
  <c r="Q27" i="15"/>
  <c r="O27" i="15"/>
  <c r="O64" i="15"/>
  <c r="Q64" i="15"/>
  <c r="O43" i="15"/>
  <c r="Q43" i="15"/>
</calcChain>
</file>

<file path=xl/sharedStrings.xml><?xml version="1.0" encoding="utf-8"?>
<sst xmlns="http://schemas.openxmlformats.org/spreadsheetml/2006/main" count="3370" uniqueCount="571">
  <si>
    <t>American University</t>
  </si>
  <si>
    <t>Amherst</t>
  </si>
  <si>
    <t>Boston College</t>
  </si>
  <si>
    <t>Boston University</t>
  </si>
  <si>
    <t>Hamilton</t>
  </si>
  <si>
    <t>Haverford</t>
  </si>
  <si>
    <t>Middlebury</t>
  </si>
  <si>
    <t>New York University</t>
  </si>
  <si>
    <t>Princeton</t>
  </si>
  <si>
    <t>Rochester Institute of Technology</t>
  </si>
  <si>
    <t>Stanford</t>
  </si>
  <si>
    <t>Swarthmore</t>
  </si>
  <si>
    <t>University of Chicago</t>
  </si>
  <si>
    <t>University of Miami</t>
  </si>
  <si>
    <t>University of Notre Dame</t>
  </si>
  <si>
    <t>University of Pennsylvania</t>
  </si>
  <si>
    <t>University of Southern California</t>
  </si>
  <si>
    <t>University of Vermont</t>
  </si>
  <si>
    <t>Villanova</t>
  </si>
  <si>
    <t>Washington</t>
  </si>
  <si>
    <t>Wellesley</t>
  </si>
  <si>
    <t>Williams College</t>
  </si>
  <si>
    <t>Amherst College</t>
  </si>
  <si>
    <t>Oberlin College</t>
  </si>
  <si>
    <t>Bard College</t>
  </si>
  <si>
    <t>Occidental College</t>
  </si>
  <si>
    <t>Barnard College</t>
  </si>
  <si>
    <t>Pomona College</t>
  </si>
  <si>
    <t>Bates College</t>
  </si>
  <si>
    <t>Princeton University</t>
  </si>
  <si>
    <t>Rice University</t>
  </si>
  <si>
    <t>Sarah Lawrence College</t>
  </si>
  <si>
    <t>Bowdoin College</t>
  </si>
  <si>
    <t>Skidmore College</t>
  </si>
  <si>
    <t>Brown University</t>
  </si>
  <si>
    <t>Smith College</t>
  </si>
  <si>
    <t>Bucknell University</t>
  </si>
  <si>
    <t>Southern Methodist University</t>
  </si>
  <si>
    <t>Carleton College</t>
  </si>
  <si>
    <t>Stanford University</t>
  </si>
  <si>
    <t>Carnegie Mellon University</t>
  </si>
  <si>
    <t>Swarthmore College</t>
  </si>
  <si>
    <t>Case Western Reserve University</t>
  </si>
  <si>
    <t>Trinity College</t>
  </si>
  <si>
    <t>Clark University</t>
  </si>
  <si>
    <t>Tufts University</t>
  </si>
  <si>
    <t>Colgate University</t>
  </si>
  <si>
    <t>College of the Holy Cross</t>
  </si>
  <si>
    <t>Cornell University</t>
  </si>
  <si>
    <t>Dartmouth College</t>
  </si>
  <si>
    <t>Davidson College</t>
  </si>
  <si>
    <t>Denison University</t>
  </si>
  <si>
    <t>Dickinson College</t>
  </si>
  <si>
    <t>Duke University</t>
  </si>
  <si>
    <t>Emory University</t>
  </si>
  <si>
    <t>George Washington University</t>
  </si>
  <si>
    <t>University of Richmond</t>
  </si>
  <si>
    <t>Georgetown University</t>
  </si>
  <si>
    <t>University of Rochester</t>
  </si>
  <si>
    <t>Harvard University</t>
  </si>
  <si>
    <t>Howard University</t>
  </si>
  <si>
    <t>Kenyon College</t>
  </si>
  <si>
    <t>Lafayette College</t>
  </si>
  <si>
    <t>Lehigh University</t>
  </si>
  <si>
    <t>Wake Forest University</t>
  </si>
  <si>
    <t>Macalester College</t>
  </si>
  <si>
    <t>Wellesley College</t>
  </si>
  <si>
    <t>Massachusetts Institute of Technology</t>
  </si>
  <si>
    <t>McGill University</t>
  </si>
  <si>
    <t>Worcester Polytechnic Institute</t>
  </si>
  <si>
    <t>Yale University</t>
  </si>
  <si>
    <t>Colby College</t>
  </si>
  <si>
    <t>Pitzer College</t>
  </si>
  <si>
    <t>Brandeis University</t>
  </si>
  <si>
    <t>Northwestern University</t>
  </si>
  <si>
    <t>Villanova University</t>
  </si>
  <si>
    <t>Rensselaer Polytechnic Institute</t>
  </si>
  <si>
    <t>New York</t>
  </si>
  <si>
    <t>Annandale-On-Hudson</t>
  </si>
  <si>
    <t>Lewiston</t>
  </si>
  <si>
    <t>Boston</t>
  </si>
  <si>
    <t>Brunswick</t>
  </si>
  <si>
    <t>Waltham</t>
  </si>
  <si>
    <t>Providence</t>
  </si>
  <si>
    <t>Lewisburg</t>
  </si>
  <si>
    <t>Northfield</t>
  </si>
  <si>
    <t>Pittsburgh</t>
  </si>
  <si>
    <t>Cleveland</t>
  </si>
  <si>
    <t>Worcester</t>
  </si>
  <si>
    <t>Waterville</t>
  </si>
  <si>
    <t>Williamsburg</t>
  </si>
  <si>
    <t>Ithaca</t>
  </si>
  <si>
    <t>Hanover</t>
  </si>
  <si>
    <t>Davidson</t>
  </si>
  <si>
    <t>Granville</t>
  </si>
  <si>
    <t>Carlisle</t>
  </si>
  <si>
    <t>Durham</t>
  </si>
  <si>
    <t>Atlanta</t>
  </si>
  <si>
    <t>Clinton</t>
  </si>
  <si>
    <t>Cambridge</t>
  </si>
  <si>
    <t>Bloomington</t>
  </si>
  <si>
    <t>Gambier</t>
  </si>
  <si>
    <t>Easton</t>
  </si>
  <si>
    <t>Bethlehem</t>
  </si>
  <si>
    <t>Evanston</t>
  </si>
  <si>
    <t>Oberlin</t>
  </si>
  <si>
    <t>Los Angeles</t>
  </si>
  <si>
    <t>Claremont</t>
  </si>
  <si>
    <t>Troy</t>
  </si>
  <si>
    <t>Rochester</t>
  </si>
  <si>
    <t>Bronxville</t>
  </si>
  <si>
    <t>Saratoga Springs</t>
  </si>
  <si>
    <t>Northampton</t>
  </si>
  <si>
    <t>Dallas</t>
  </si>
  <si>
    <t>Hartford</t>
  </si>
  <si>
    <t>Medford</t>
  </si>
  <si>
    <t>New Orleans</t>
  </si>
  <si>
    <t>Berkeley</t>
  </si>
  <si>
    <t>Chicago</t>
  </si>
  <si>
    <t>Coral Gables</t>
  </si>
  <si>
    <t>Ann Arbor</t>
  </si>
  <si>
    <t>Notre Dame</t>
  </si>
  <si>
    <t>Philadelphia</t>
  </si>
  <si>
    <t>Burlington</t>
  </si>
  <si>
    <t>Charlottesville</t>
  </si>
  <si>
    <t>Madison</t>
  </si>
  <si>
    <t>Nashville</t>
  </si>
  <si>
    <t>Winston-Salem</t>
  </si>
  <si>
    <t>Middletown</t>
  </si>
  <si>
    <t>Williamstown</t>
  </si>
  <si>
    <t>New Haven</t>
  </si>
  <si>
    <t>ID</t>
  </si>
  <si>
    <t>School</t>
  </si>
  <si>
    <t>INSTNM</t>
  </si>
  <si>
    <t>UNITID</t>
  </si>
  <si>
    <t>University of California-Berkeley</t>
  </si>
  <si>
    <t>University of California-Davis</t>
  </si>
  <si>
    <t>University of California-Irvine</t>
  </si>
  <si>
    <t>University of California-Los Angeles</t>
  </si>
  <si>
    <t>University of California-San Diego</t>
  </si>
  <si>
    <t>University of California-Santa Barbara</t>
  </si>
  <si>
    <t>Connecticut College</t>
  </si>
  <si>
    <t>Wesleyan University</t>
  </si>
  <si>
    <t>University of Illinois Urbana-Champaign</t>
  </si>
  <si>
    <t>Indiana University-South Bend</t>
  </si>
  <si>
    <t>Indiana University-Bloomington</t>
  </si>
  <si>
    <t>Grinnell College</t>
  </si>
  <si>
    <t>Tulane University of Louisiana</t>
  </si>
  <si>
    <t>Northeastern University</t>
  </si>
  <si>
    <t>University of Michigan-Ann Arbor</t>
  </si>
  <si>
    <t>University of Minnesota-Twin Cities</t>
  </si>
  <si>
    <t>Washington University in St Louis</t>
  </si>
  <si>
    <t>Columbia University in the City of New York</t>
  </si>
  <si>
    <t>Hamilton College</t>
  </si>
  <si>
    <t>Binghamton University</t>
  </si>
  <si>
    <t>Syracuse University</t>
  </si>
  <si>
    <t>Vassar College</t>
  </si>
  <si>
    <t>University of North Carolina at Chapel Hill</t>
  </si>
  <si>
    <t>Reed College</t>
  </si>
  <si>
    <t>Franklin and Marshall College</t>
  </si>
  <si>
    <t>Haverford College</t>
  </si>
  <si>
    <t>Vanderbilt University</t>
  </si>
  <si>
    <t>The University of Texas at Austin</t>
  </si>
  <si>
    <t>Middlebury College</t>
  </si>
  <si>
    <t>William &amp; Mary</t>
  </si>
  <si>
    <t>Virginia Polytechnic Institute and State University</t>
  </si>
  <si>
    <t>University of Virginia-Main Campus</t>
  </si>
  <si>
    <t>University of Wisconsin-Madison</t>
  </si>
  <si>
    <t>ncesid</t>
  </si>
  <si>
    <t>APPLCNM</t>
  </si>
  <si>
    <t>APPLCNW</t>
  </si>
  <si>
    <t>APPLCN</t>
  </si>
  <si>
    <t>ADMSSNM</t>
  </si>
  <si>
    <t>ADMSSNW</t>
  </si>
  <si>
    <t>ADMSSN</t>
  </si>
  <si>
    <t>ENRLFTM</t>
  </si>
  <si>
    <t>ENRLFTW</t>
  </si>
  <si>
    <t>ENRLFT</t>
  </si>
  <si>
    <t>ENRLPTM</t>
  </si>
  <si>
    <t>ENRLPTW</t>
  </si>
  <si>
    <t>ENRLPT</t>
  </si>
  <si>
    <t>ENRLM</t>
  </si>
  <si>
    <t>ENRLW</t>
  </si>
  <si>
    <t>ENRLT</t>
  </si>
  <si>
    <t>SATNUM</t>
  </si>
  <si>
    <t>SATPCT</t>
  </si>
  <si>
    <t>ACTNUM</t>
  </si>
  <si>
    <t>ACTPCT</t>
  </si>
  <si>
    <t>SATVR25</t>
  </si>
  <si>
    <t>SATVR75</t>
  </si>
  <si>
    <t>SATMT25</t>
  </si>
  <si>
    <t>SATMT75</t>
  </si>
  <si>
    <t>ACTCM25</t>
  </si>
  <si>
    <t>ACTCM75</t>
  </si>
  <si>
    <t>ACTEN25</t>
  </si>
  <si>
    <t>ACTEN75</t>
  </si>
  <si>
    <t>ACTMT25</t>
  </si>
  <si>
    <t>ACTMT75</t>
  </si>
  <si>
    <t>percAdm</t>
  </si>
  <si>
    <t>percAdmMen</t>
  </si>
  <si>
    <t>percAdmWom</t>
  </si>
  <si>
    <t>ADDR</t>
  </si>
  <si>
    <t>CITY</t>
  </si>
  <si>
    <t>STABBR</t>
  </si>
  <si>
    <t>ZIP</t>
  </si>
  <si>
    <t>200 California Hall</t>
  </si>
  <si>
    <t>CA</t>
  </si>
  <si>
    <t>405 Hilgard Ave</t>
  </si>
  <si>
    <t>90095-1405</t>
  </si>
  <si>
    <t>1600 Campus Rd</t>
  </si>
  <si>
    <t>90041-3392</t>
  </si>
  <si>
    <t>1050 North Mills Avenue</t>
  </si>
  <si>
    <t>91711-6101</t>
  </si>
  <si>
    <t>550 N College Ave</t>
  </si>
  <si>
    <t>University Park</t>
  </si>
  <si>
    <t>300 Summit St</t>
  </si>
  <si>
    <t>CT</t>
  </si>
  <si>
    <t>06106-3100</t>
  </si>
  <si>
    <t>45 Wyllys Avenue</t>
  </si>
  <si>
    <t>Woodbridge Hall</t>
  </si>
  <si>
    <t>4400 Massachusetts Ave NW</t>
  </si>
  <si>
    <t>DC</t>
  </si>
  <si>
    <t>20016-8001</t>
  </si>
  <si>
    <t>1918 F Street, NW</t>
  </si>
  <si>
    <t>37th and O St NW</t>
  </si>
  <si>
    <t>20057-0001</t>
  </si>
  <si>
    <t>2400 Sixth St NW</t>
  </si>
  <si>
    <t>FL</t>
  </si>
  <si>
    <t>201 Dowman Drive</t>
  </si>
  <si>
    <t>GA</t>
  </si>
  <si>
    <t>5801 S Ellis Ave</t>
  </si>
  <si>
    <t>IL</t>
  </si>
  <si>
    <t>633 Clark St</t>
  </si>
  <si>
    <t>1700 Mishawaka Ave</t>
  </si>
  <si>
    <t>South Bend</t>
  </si>
  <si>
    <t>IN</t>
  </si>
  <si>
    <t>46615-7111</t>
  </si>
  <si>
    <t>400 Main Building</t>
  </si>
  <si>
    <t>2 Andrews Road</t>
  </si>
  <si>
    <t>ME</t>
  </si>
  <si>
    <t>255 Maine Street</t>
  </si>
  <si>
    <t>4000 Mayflower Hill Drive</t>
  </si>
  <si>
    <t>04901-8840</t>
  </si>
  <si>
    <t>Boltwood Avenue</t>
  </si>
  <si>
    <t>MA</t>
  </si>
  <si>
    <t>01002-5000</t>
  </si>
  <si>
    <t>140 Commonwealth Avenue</t>
  </si>
  <si>
    <t>Chestnut Hill</t>
  </si>
  <si>
    <t>One Silber Way</t>
  </si>
  <si>
    <t>415 South St</t>
  </si>
  <si>
    <t>02454-9110</t>
  </si>
  <si>
    <t>950 Main St</t>
  </si>
  <si>
    <t>01610-1477</t>
  </si>
  <si>
    <t>Massachusetts Hall</t>
  </si>
  <si>
    <t>One College Street</t>
  </si>
  <si>
    <t>01610-2395</t>
  </si>
  <si>
    <t>77 Massachusetts Avenue</t>
  </si>
  <si>
    <t>02139-4307</t>
  </si>
  <si>
    <t>Elm St</t>
  </si>
  <si>
    <t xml:space="preserve"> </t>
  </si>
  <si>
    <t>02155-5555</t>
  </si>
  <si>
    <t>106 Central St</t>
  </si>
  <si>
    <t>02481-8203</t>
  </si>
  <si>
    <t>880 Main St</t>
  </si>
  <si>
    <t>100 Institute Road</t>
  </si>
  <si>
    <t>01609-2280</t>
  </si>
  <si>
    <t>MI</t>
  </si>
  <si>
    <t>One North College Street</t>
  </si>
  <si>
    <t>MN</t>
  </si>
  <si>
    <t>1600 Grand Ave</t>
  </si>
  <si>
    <t>Saint Paul</t>
  </si>
  <si>
    <t>55105-1899</t>
  </si>
  <si>
    <t>One Brookings Drive</t>
  </si>
  <si>
    <t>Saint Louis</t>
  </si>
  <si>
    <t>MO</t>
  </si>
  <si>
    <t>63130-4899</t>
  </si>
  <si>
    <t>207 Parkhurst Hall</t>
  </si>
  <si>
    <t>NH</t>
  </si>
  <si>
    <t>03755-3529</t>
  </si>
  <si>
    <t>1 Nassau Hall</t>
  </si>
  <si>
    <t>NJ</t>
  </si>
  <si>
    <t>08544-0070</t>
  </si>
  <si>
    <t>Annandale Road</t>
  </si>
  <si>
    <t>NY</t>
  </si>
  <si>
    <t>12504-5000</t>
  </si>
  <si>
    <t>3009 Broadway</t>
  </si>
  <si>
    <t>10027-6598</t>
  </si>
  <si>
    <t>13 Oak Drive</t>
  </si>
  <si>
    <t>13346-1398</t>
  </si>
  <si>
    <t>West 116 St and Broadway</t>
  </si>
  <si>
    <t>300 Day Hall</t>
  </si>
  <si>
    <t>198 College Hill Rd</t>
  </si>
  <si>
    <t>70 Washington Sq South</t>
  </si>
  <si>
    <t>10012-1091</t>
  </si>
  <si>
    <t>110 8th St</t>
  </si>
  <si>
    <t>12180-3590</t>
  </si>
  <si>
    <t>1 Lomb Memorial Dr</t>
  </si>
  <si>
    <t>14623-5603</t>
  </si>
  <si>
    <t>Wilson Blvd. - Wallis Hall</t>
  </si>
  <si>
    <t>14627-0011</t>
  </si>
  <si>
    <t>One Meadway</t>
  </si>
  <si>
    <t>815 N Broadway</t>
  </si>
  <si>
    <t>405 N. Main Street</t>
  </si>
  <si>
    <t>NC</t>
  </si>
  <si>
    <t>103 Allen Bldg</t>
  </si>
  <si>
    <t>1834 Wake Forest Road</t>
  </si>
  <si>
    <t>10900 Euclid Ave</t>
  </si>
  <si>
    <t>OH</t>
  </si>
  <si>
    <t>100 West College Street</t>
  </si>
  <si>
    <t>70 N Professor St</t>
  </si>
  <si>
    <t>One Dent Drive</t>
  </si>
  <si>
    <t>PA</t>
  </si>
  <si>
    <t>5000 Forbes Avenue</t>
  </si>
  <si>
    <t>15213-3890</t>
  </si>
  <si>
    <t>College and Louther Streets</t>
  </si>
  <si>
    <t>17013-2896</t>
  </si>
  <si>
    <t>370  Lancaster Ave</t>
  </si>
  <si>
    <t>19041-1392</t>
  </si>
  <si>
    <t>High St</t>
  </si>
  <si>
    <t>18042-1768</t>
  </si>
  <si>
    <t>27 Memorial Drive West</t>
  </si>
  <si>
    <t>34th &amp; Spruce Street</t>
  </si>
  <si>
    <t>19104-6303</t>
  </si>
  <si>
    <t>500 College Ave</t>
  </si>
  <si>
    <t>800 Lancaster Avenue</t>
  </si>
  <si>
    <t>19085-1699</t>
  </si>
  <si>
    <t>One Prospect Street</t>
  </si>
  <si>
    <t>RI</t>
  </si>
  <si>
    <t>2101 West End Avenue</t>
  </si>
  <si>
    <t>TN</t>
  </si>
  <si>
    <t>6100 S Main St</t>
  </si>
  <si>
    <t>Houston</t>
  </si>
  <si>
    <t>TX</t>
  </si>
  <si>
    <t>77005-1827</t>
  </si>
  <si>
    <t>6425 Boaz St</t>
  </si>
  <si>
    <t>75275-0221</t>
  </si>
  <si>
    <t>Old Chapel</t>
  </si>
  <si>
    <t>VT</t>
  </si>
  <si>
    <t>85 S Prospect St</t>
  </si>
  <si>
    <t>05405-0160</t>
  </si>
  <si>
    <t>200 Richmond Road</t>
  </si>
  <si>
    <t>VA</t>
  </si>
  <si>
    <t>23187-8795</t>
  </si>
  <si>
    <t>410 Westhampton Way</t>
  </si>
  <si>
    <t>1827 University Avenue</t>
  </si>
  <si>
    <t>22903-2628</t>
  </si>
  <si>
    <t>500 Lincoln Dr</t>
  </si>
  <si>
    <t>WI</t>
  </si>
  <si>
    <t>53706-1380</t>
  </si>
  <si>
    <t>notes</t>
  </si>
  <si>
    <t>vl</t>
  </si>
  <si>
    <t>l</t>
  </si>
  <si>
    <t>m</t>
  </si>
  <si>
    <t>s</t>
  </si>
  <si>
    <t>Washington University in St. Louis</t>
  </si>
  <si>
    <t>601 E John Street</t>
  </si>
  <si>
    <t>Champaign</t>
  </si>
  <si>
    <t>61820-5711</t>
  </si>
  <si>
    <t>360 Huntington Ave</t>
  </si>
  <si>
    <t>02115-5005</t>
  </si>
  <si>
    <t>100 Church Street SE</t>
  </si>
  <si>
    <t>Minneapolis</t>
  </si>
  <si>
    <t>55455-0213</t>
  </si>
  <si>
    <t>900 South Crouse Ave.</t>
  </si>
  <si>
    <t>Syracuse</t>
  </si>
  <si>
    <t>103 South Bldg Cb 9100</t>
  </si>
  <si>
    <t>Chapel Hill</t>
  </si>
  <si>
    <t>210 Burruss Hall, 800 Drillfield Dr.</t>
  </si>
  <si>
    <t>Blacksburg</t>
  </si>
  <si>
    <t>24061-0131</t>
  </si>
  <si>
    <t>GROFFER</t>
  </si>
  <si>
    <t>HDEGOFR1</t>
  </si>
  <si>
    <t>CARNEGIE</t>
  </si>
  <si>
    <t>CCBASIC</t>
  </si>
  <si>
    <t>C15BASIC</t>
  </si>
  <si>
    <t>C18BASIC</t>
  </si>
  <si>
    <t>INSTSIZE</t>
  </si>
  <si>
    <t>1121 Park Street</t>
  </si>
  <si>
    <t>Grinnell</t>
  </si>
  <si>
    <t>IA</t>
  </si>
  <si>
    <t>50112-1690</t>
  </si>
  <si>
    <t>6823 St. Charles Avenue</t>
  </si>
  <si>
    <t>LA</t>
  </si>
  <si>
    <t>70118-5698</t>
  </si>
  <si>
    <t>4400 Vestal Parkway East</t>
  </si>
  <si>
    <t>Vestal</t>
  </si>
  <si>
    <t>13850-6000</t>
  </si>
  <si>
    <t>College Ave</t>
  </si>
  <si>
    <t>Lancaster</t>
  </si>
  <si>
    <t>17604-3003</t>
  </si>
  <si>
    <t>110 Inner Campus Drive</t>
  </si>
  <si>
    <t>Austin</t>
  </si>
  <si>
    <t>id</t>
  </si>
  <si>
    <t>APPLCNAN</t>
  </si>
  <si>
    <t>APPLCNUN</t>
  </si>
  <si>
    <t>ADMSSNAN</t>
  </si>
  <si>
    <t>ADMSSNUN</t>
  </si>
  <si>
    <t>ENRLAN</t>
  </si>
  <si>
    <t>ENRLUN</t>
  </si>
  <si>
    <t>ENRLFTAN</t>
  </si>
  <si>
    <t>ENRLFTUN</t>
  </si>
  <si>
    <t>ENRLPTAN</t>
  </si>
  <si>
    <t>ENRLPTUN</t>
  </si>
  <si>
    <t>SATVR50</t>
  </si>
  <si>
    <t>SATMT50</t>
  </si>
  <si>
    <t>ACTCM50</t>
  </si>
  <si>
    <t>ACTEN50</t>
  </si>
  <si>
    <t>ACTMT50</t>
  </si>
  <si>
    <t>C21IPUG</t>
  </si>
  <si>
    <t>C21IPGRD</t>
  </si>
  <si>
    <t>C21UGPRF</t>
  </si>
  <si>
    <t>C21ENPRF</t>
  </si>
  <si>
    <t>C21SZSET</t>
  </si>
  <si>
    <t>C21BASIC</t>
  </si>
  <si>
    <t>https://nces.ed.gov/ipeds/use-the-data/download-access-database</t>
  </si>
  <si>
    <t>Data:</t>
  </si>
  <si>
    <t>name</t>
  </si>
  <si>
    <t>Albany</t>
  </si>
  <si>
    <t>Poughkeepsie</t>
  </si>
  <si>
    <t>New London</t>
  </si>
  <si>
    <t>270 Mohegan Avenue</t>
  </si>
  <si>
    <t>06320-4196</t>
  </si>
  <si>
    <t>1400 Washington Avenue</t>
  </si>
  <si>
    <t>124 Raymond Ave</t>
  </si>
  <si>
    <t>trip</t>
  </si>
  <si>
    <t>2: R2</t>
  </si>
  <si>
    <t>3: M</t>
  </si>
  <si>
    <t>4: L</t>
  </si>
  <si>
    <t>City: Midsize</t>
  </si>
  <si>
    <t>City: Large</t>
  </si>
  <si>
    <t>Suburb: Large</t>
  </si>
  <si>
    <t>City: Small</t>
  </si>
  <si>
    <t>Town: Remote</t>
  </si>
  <si>
    <t>Town: Fringe</t>
  </si>
  <si>
    <t>Town: Distant</t>
  </si>
  <si>
    <t>Suburb: Midsize</t>
  </si>
  <si>
    <t>Suburb: Small</t>
  </si>
  <si>
    <t>APP M%</t>
  </si>
  <si>
    <t>APP W%</t>
  </si>
  <si>
    <t>SAT V 25-75</t>
  </si>
  <si>
    <t>SAT M 25-75</t>
  </si>
  <si>
    <t>ADM+ M%</t>
  </si>
  <si>
    <t>ADM+ W%</t>
  </si>
  <si>
    <t>University of Toronto</t>
  </si>
  <si>
    <t>visited</t>
  </si>
  <si>
    <t>1:R1</t>
  </si>
  <si>
    <t>3203 SE Woodstock Blvd</t>
  </si>
  <si>
    <t>Portland</t>
  </si>
  <si>
    <t>OR</t>
  </si>
  <si>
    <t>97202-8199</t>
  </si>
  <si>
    <t>One Shields Avenue</t>
  </si>
  <si>
    <t>Davis</t>
  </si>
  <si>
    <t>95616-8678</t>
  </si>
  <si>
    <t>501 Aldrich Hall</t>
  </si>
  <si>
    <t>Irvine</t>
  </si>
  <si>
    <t>9500 Gilman Dr</t>
  </si>
  <si>
    <t>La Jolla</t>
  </si>
  <si>
    <t>5221 Cheadle Hall</t>
  </si>
  <si>
    <t>Santa Barbara</t>
  </si>
  <si>
    <t>https://www.ivywise.com/blog/college-early-admission-rates/</t>
  </si>
  <si>
    <t>final</t>
  </si>
  <si>
    <t>hs recc</t>
  </si>
  <si>
    <t>ED1</t>
  </si>
  <si>
    <t>ED2</t>
  </si>
  <si>
    <t>EA1</t>
  </si>
  <si>
    <t>RD</t>
  </si>
  <si>
    <t>recheck?</t>
  </si>
  <si>
    <t>no</t>
  </si>
  <si>
    <t>yes</t>
  </si>
  <si>
    <t>n/a</t>
  </si>
  <si>
    <t>ord</t>
  </si>
  <si>
    <t>EA</t>
  </si>
  <si>
    <t>edAdm</t>
  </si>
  <si>
    <t>mostrec</t>
  </si>
  <si>
    <t>107 South Indiana Ave.</t>
  </si>
  <si>
    <t>47405-7000</t>
  </si>
  <si>
    <t>91711-4434</t>
  </si>
  <si>
    <t>1109 Geddes Avenue</t>
  </si>
  <si>
    <t>Rural: Fringe</t>
  </si>
  <si>
    <t>Rural: Distant</t>
  </si>
  <si>
    <t>University at Albany</t>
  </si>
  <si>
    <t>Summary Data 2023-24</t>
  </si>
  <si>
    <t>category</t>
  </si>
  <si>
    <t>broad</t>
  </si>
  <si>
    <t>find this number in 'raw', then copy a row down from columns A:S</t>
  </si>
  <si>
    <t>size_alt</t>
  </si>
  <si>
    <t>Secondary school GPA</t>
  </si>
  <si>
    <t>Secondary school rank</t>
  </si>
  <si>
    <t>Secondary school record</t>
  </si>
  <si>
    <t>Completion of college-preparatory program</t>
  </si>
  <si>
    <t>Recommendations</t>
  </si>
  <si>
    <t>Formal demonstration of competencies</t>
  </si>
  <si>
    <t>Admission test scores</t>
  </si>
  <si>
    <t>English Proficiency Test</t>
  </si>
  <si>
    <t xml:space="preserve">Other Test (Wonderlic, WISC-III, etc.)  </t>
  </si>
  <si>
    <t>Work experience</t>
  </si>
  <si>
    <t>Personal statement or essay</t>
  </si>
  <si>
    <t>Legacy status</t>
  </si>
  <si>
    <t>LOCALE</t>
  </si>
  <si>
    <t>Required to be considered for admission</t>
  </si>
  <si>
    <t>Not considered for admission, even if submitted</t>
  </si>
  <si>
    <t>Not required for admission, but considered if submitted</t>
  </si>
  <si>
    <t>Not considered for admission, even if submitted (Test Blind)</t>
  </si>
  <si>
    <t>Graduate degree or certificate offering</t>
  </si>
  <si>
    <t>Doctor's degree - research/scholarship and professional practice</t>
  </si>
  <si>
    <t>Doctoral/Research Universities--Extensive</t>
  </si>
  <si>
    <t>Research Universities (very high research activity)</t>
  </si>
  <si>
    <t>Doctoral Universities: Highest Research Activity</t>
  </si>
  <si>
    <t xml:space="preserve">Doctoral Universities: Very High Research Activity_x000D_
</t>
  </si>
  <si>
    <t>Arts &amp; sciences plus professions, high graduate coexistence</t>
  </si>
  <si>
    <t>Research Doctoral: Comprehensive programs, no medical/veterinary school</t>
  </si>
  <si>
    <t>Four-year, full-time, more selective, higher transfer-in</t>
  </si>
  <si>
    <t>Majority undergraduate</t>
  </si>
  <si>
    <t>Four-year, large, primarily residential</t>
  </si>
  <si>
    <t>20,000 and above</t>
  </si>
  <si>
    <t>Research Doctoral: Comprehensive programs, with medical/veterinary school</t>
  </si>
  <si>
    <t>High undergraduate</t>
  </si>
  <si>
    <t>Balanced arts &amp; sciences/professions, high graduate coexistence</t>
  </si>
  <si>
    <t>Arts &amp; sciences focus, high graduate coexistence</t>
  </si>
  <si>
    <t>Four-year, large, highly residential</t>
  </si>
  <si>
    <t>Doctor's degree - research/scholarship</t>
  </si>
  <si>
    <t>Not required for admission, but considered if submitted (Test Optional)</t>
  </si>
  <si>
    <t>Master's degree</t>
  </si>
  <si>
    <t>Baccalaureate Colleges--Liberal Arts</t>
  </si>
  <si>
    <t>Baccalaureate Colleges--Arts &amp; Sciences</t>
  </si>
  <si>
    <t>Baccalaureate Colleges: Arts &amp; Sciences Focus</t>
  </si>
  <si>
    <t>Arts &amp; sciences focus, no graduate coexistence</t>
  </si>
  <si>
    <t>Not classified (Exclusively Undergraduate)</t>
  </si>
  <si>
    <t>Four-year, full-time, more selective, lower transfer-in</t>
  </si>
  <si>
    <t>Exclusively undergraduate four-year</t>
  </si>
  <si>
    <t>Four-year, small, highly residential</t>
  </si>
  <si>
    <t>1,000 - 4,999</t>
  </si>
  <si>
    <t>No graduate offering</t>
  </si>
  <si>
    <t>Bachelor's degree</t>
  </si>
  <si>
    <t>Four-year, very small, highly residential</t>
  </si>
  <si>
    <t>Majority graduate</t>
  </si>
  <si>
    <t>Arts &amp; sciences focus, some graduate coexistence</t>
  </si>
  <si>
    <t>Postbaccalaureate: Other-dominant, with Arts &amp; Sciences</t>
  </si>
  <si>
    <t>Very high undergraduate</t>
  </si>
  <si>
    <t>Research Doctoral: STEM-dominant</t>
  </si>
  <si>
    <t>10,000 - 19,999</t>
  </si>
  <si>
    <t>Doctoral/Research Universities</t>
  </si>
  <si>
    <t>Doctoral Universities: Higher Research Activity</t>
  </si>
  <si>
    <t xml:space="preserve">Doctoral Universities: High Research Activity_x000D_
</t>
  </si>
  <si>
    <t>Research Universities (high research activity)</t>
  </si>
  <si>
    <t>Four-year, full-time, selective, lower transfer-in</t>
  </si>
  <si>
    <t>Arts &amp; sciences plus professions, some graduate coexistence</t>
  </si>
  <si>
    <t>Masters Colleges and Universities I</t>
  </si>
  <si>
    <t>Master's Colleges and Universities (medium programs)</t>
  </si>
  <si>
    <t>Master's Colleges &amp; Universities: Medium Programs</t>
  </si>
  <si>
    <t>Professions plus arts &amp; sciences, some graduate coexistence</t>
  </si>
  <si>
    <t>Postbaccalaureate: Education-dominant, with Arts &amp; Sciences</t>
  </si>
  <si>
    <t>Four-year, medium full-time, inclusive, higher transfer-in</t>
  </si>
  <si>
    <t>Four-year, medium, primarily nonresidential</t>
  </si>
  <si>
    <t>Four-year, medium, highly residential</t>
  </si>
  <si>
    <t>5,000 - 9,999</t>
  </si>
  <si>
    <t>Doctoral/Research Universities--Intensive</t>
  </si>
  <si>
    <t>Doctoral Universities: Moderate Research Activity</t>
  </si>
  <si>
    <t>Research Doctoral: Humanities/social sciences-dominant</t>
  </si>
  <si>
    <t>Professions plus arts &amp; sciences, high graduate coexistence</t>
  </si>
  <si>
    <t>Research Doctoral: Single program-Other</t>
  </si>
  <si>
    <t>Four-year, medium, primarily residential</t>
  </si>
  <si>
    <t>Four-year, large, primarily nonresidential</t>
  </si>
  <si>
    <t>Four-year, full-time, selective, higher transfer-in</t>
  </si>
  <si>
    <t>Postbaccalaureate: Single program-Education</t>
  </si>
  <si>
    <t>Master's Colleges and Universities (larger programs)</t>
  </si>
  <si>
    <t>Postbaccalaureate: Single program-Other</t>
  </si>
  <si>
    <t>Postbaccalaureate: Comprehensive programs</t>
  </si>
  <si>
    <t>Arts &amp; sciences plus professions, no graduate coexistence</t>
  </si>
  <si>
    <t>Balanced arts &amp; sciences/professions, some graduate coexistence</t>
  </si>
  <si>
    <t>Doctor's degree -  professional practice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</si>
</sst>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m/d/yy;@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 style="dotted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9" xfId="0" applyBorder="1"/>
    <xf numFmtId="0" fontId="0" fillId="0" borderId="6" xfId="0" applyBorder="1"/>
    <xf numFmtId="0" fontId="0" fillId="2" borderId="1" xfId="0" applyFill="1" applyBorder="1"/>
    <xf numFmtId="0" fontId="0" fillId="2" borderId="2" xfId="0" applyFill="1" applyBorder="1"/>
    <xf numFmtId="0" fontId="0" fillId="2" borderId="10" xfId="0" applyFill="1" applyBorder="1"/>
    <xf numFmtId="0" fontId="0" fillId="2" borderId="7" xfId="0" applyFill="1" applyBorder="1"/>
    <xf numFmtId="0" fontId="0" fillId="2" borderId="3" xfId="0" applyFill="1" applyBorder="1"/>
    <xf numFmtId="0" fontId="0" fillId="2" borderId="4" xfId="0" applyFill="1" applyBorder="1"/>
    <xf numFmtId="0" fontId="2" fillId="0" borderId="0" xfId="0" applyFont="1"/>
    <xf numFmtId="14" fontId="0" fillId="0" borderId="0" xfId="0" applyNumberFormat="1"/>
    <xf numFmtId="9" fontId="0" fillId="0" borderId="0" xfId="1" applyFont="1"/>
    <xf numFmtId="0" fontId="0" fillId="3" borderId="0" xfId="0" applyFill="1"/>
    <xf numFmtId="0" fontId="0" fillId="4" borderId="1" xfId="0" applyFill="1" applyBorder="1"/>
    <xf numFmtId="0" fontId="0" fillId="4" borderId="6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8" xfId="0" applyFill="1" applyBorder="1"/>
    <xf numFmtId="0" fontId="0" fillId="4" borderId="4" xfId="0" applyFill="1" applyBorder="1"/>
    <xf numFmtId="0" fontId="0" fillId="0" borderId="0" xfId="0" quotePrefix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9" fontId="0" fillId="0" borderId="12" xfId="1" applyFont="1" applyBorder="1"/>
    <xf numFmtId="9" fontId="0" fillId="0" borderId="15" xfId="1" applyFont="1" applyBorder="1"/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0" fillId="0" borderId="13" xfId="0" applyBorder="1" applyAlignment="1">
      <alignment horizontal="right"/>
    </xf>
    <xf numFmtId="0" fontId="0" fillId="0" borderId="16" xfId="0" applyBorder="1" applyAlignment="1">
      <alignment horizontal="right"/>
    </xf>
    <xf numFmtId="0" fontId="4" fillId="0" borderId="0" xfId="0" applyFont="1"/>
    <xf numFmtId="0" fontId="3" fillId="0" borderId="0" xfId="0" applyFont="1"/>
    <xf numFmtId="0" fontId="0" fillId="0" borderId="22" xfId="0" applyBorder="1"/>
    <xf numFmtId="0" fontId="0" fillId="0" borderId="23" xfId="0" applyBorder="1"/>
    <xf numFmtId="0" fontId="0" fillId="0" borderId="24" xfId="0" applyBorder="1"/>
    <xf numFmtId="164" fontId="0" fillId="0" borderId="21" xfId="1" applyNumberFormat="1" applyFont="1" applyBorder="1" applyAlignment="1">
      <alignment horizontal="center"/>
    </xf>
    <xf numFmtId="9" fontId="0" fillId="0" borderId="21" xfId="1" applyFont="1" applyBorder="1"/>
    <xf numFmtId="0" fontId="0" fillId="0" borderId="24" xfId="0" applyBorder="1" applyAlignment="1">
      <alignment horizontal="right"/>
    </xf>
    <xf numFmtId="3" fontId="0" fillId="0" borderId="12" xfId="0" applyNumberFormat="1" applyBorder="1"/>
    <xf numFmtId="3" fontId="0" fillId="0" borderId="15" xfId="0" applyNumberFormat="1" applyBorder="1"/>
    <xf numFmtId="3" fontId="0" fillId="0" borderId="21" xfId="0" applyNumberFormat="1" applyBorder="1"/>
    <xf numFmtId="3" fontId="0" fillId="0" borderId="11" xfId="0" applyNumberFormat="1" applyBorder="1"/>
    <xf numFmtId="3" fontId="0" fillId="0" borderId="14" xfId="0" applyNumberFormat="1" applyBorder="1"/>
    <xf numFmtId="3" fontId="0" fillId="0" borderId="23" xfId="0" applyNumberFormat="1" applyBorder="1"/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9" fontId="0" fillId="0" borderId="11" xfId="1" applyFont="1" applyBorder="1"/>
    <xf numFmtId="9" fontId="0" fillId="0" borderId="14" xfId="1" applyFont="1" applyBorder="1"/>
    <xf numFmtId="9" fontId="0" fillId="0" borderId="23" xfId="1" applyFont="1" applyBorder="1"/>
    <xf numFmtId="9" fontId="0" fillId="0" borderId="13" xfId="0" applyNumberFormat="1" applyBorder="1"/>
    <xf numFmtId="9" fontId="0" fillId="0" borderId="16" xfId="0" applyNumberFormat="1" applyBorder="1"/>
    <xf numFmtId="9" fontId="0" fillId="0" borderId="24" xfId="0" applyNumberFormat="1" applyBorder="1"/>
    <xf numFmtId="0" fontId="0" fillId="0" borderId="20" xfId="0" applyBorder="1" applyAlignment="1">
      <alignment horizontal="center"/>
    </xf>
    <xf numFmtId="0" fontId="3" fillId="0" borderId="1" xfId="0" applyFont="1" applyBorder="1"/>
    <xf numFmtId="0" fontId="3" fillId="0" borderId="2" xfId="0" applyFont="1" applyBorder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0" fillId="0" borderId="25" xfId="0" applyBorder="1"/>
    <xf numFmtId="0" fontId="0" fillId="0" borderId="21" xfId="0" applyBorder="1"/>
    <xf numFmtId="0" fontId="0" fillId="0" borderId="26" xfId="0" applyBorder="1"/>
    <xf numFmtId="0" fontId="0" fillId="0" borderId="15" xfId="0" applyBorder="1" applyAlignment="1">
      <alignment horizontal="center"/>
    </xf>
    <xf numFmtId="165" fontId="0" fillId="0" borderId="13" xfId="1" applyNumberFormat="1" applyFont="1" applyBorder="1"/>
    <xf numFmtId="165" fontId="0" fillId="0" borderId="16" xfId="1" applyNumberFormat="1" applyFont="1" applyBorder="1"/>
    <xf numFmtId="165" fontId="0" fillId="0" borderId="24" xfId="1" applyNumberFormat="1" applyFont="1" applyBorder="1"/>
    <xf numFmtId="165" fontId="0" fillId="0" borderId="27" xfId="1" applyNumberFormat="1" applyFont="1" applyBorder="1"/>
    <xf numFmtId="9" fontId="0" fillId="0" borderId="26" xfId="1" applyFont="1" applyBorder="1"/>
    <xf numFmtId="0" fontId="0" fillId="6" borderId="20" xfId="0" applyFill="1" applyBorder="1"/>
    <xf numFmtId="0" fontId="0" fillId="6" borderId="15" xfId="0" applyFill="1" applyBorder="1"/>
    <xf numFmtId="0" fontId="0" fillId="7" borderId="0" xfId="0" applyFill="1"/>
    <xf numFmtId="0" fontId="0" fillId="8" borderId="0" xfId="0" applyFill="1" applyAlignment="1">
      <alignment horizontal="center"/>
    </xf>
    <xf numFmtId="0" fontId="0" fillId="8" borderId="0" xfId="0" applyFill="1"/>
    <xf numFmtId="0" fontId="0" fillId="9" borderId="0" xfId="0" applyFill="1"/>
    <xf numFmtId="0" fontId="0" fillId="10" borderId="0" xfId="0" applyFill="1"/>
    <xf numFmtId="0" fontId="2" fillId="0" borderId="0" xfId="0" applyFont="1" applyAlignment="1">
      <alignment horizontal="center"/>
    </xf>
    <xf numFmtId="166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vertical="top"/>
    </xf>
    <xf numFmtId="0" fontId="0" fillId="6" borderId="21" xfId="0" applyFill="1" applyBorder="1"/>
    <xf numFmtId="166" fontId="0" fillId="0" borderId="0" xfId="0" applyNumberFormat="1"/>
    <xf numFmtId="9" fontId="0" fillId="0" borderId="16" xfId="1" applyFont="1" applyBorder="1"/>
    <xf numFmtId="9" fontId="0" fillId="0" borderId="24" xfId="1" applyFont="1" applyBorder="1"/>
    <xf numFmtId="9" fontId="3" fillId="0" borderId="0" xfId="1" applyFont="1"/>
    <xf numFmtId="9" fontId="0" fillId="0" borderId="2" xfId="1" applyFont="1" applyBorder="1"/>
    <xf numFmtId="0" fontId="2" fillId="9" borderId="0" xfId="0" applyFont="1" applyFill="1"/>
    <xf numFmtId="3" fontId="0" fillId="0" borderId="0" xfId="0" applyNumberFormat="1"/>
    <xf numFmtId="0" fontId="0" fillId="3" borderId="11" xfId="0" applyFill="1" applyBorder="1"/>
    <xf numFmtId="0" fontId="0" fillId="3" borderId="14" xfId="0" applyFill="1" applyBorder="1"/>
    <xf numFmtId="0" fontId="0" fillId="3" borderId="17" xfId="0" applyFill="1" applyBorder="1"/>
    <xf numFmtId="0" fontId="0" fillId="3" borderId="21" xfId="0" applyFill="1" applyBorder="1"/>
    <xf numFmtId="0" fontId="0" fillId="3" borderId="15" xfId="0" applyFill="1" applyBorder="1"/>
    <xf numFmtId="0" fontId="0" fillId="3" borderId="26" xfId="0" applyFill="1" applyBorder="1"/>
    <xf numFmtId="0" fontId="0" fillId="3" borderId="23" xfId="0" applyFill="1" applyBorder="1"/>
    <xf numFmtId="0" fontId="0" fillId="3" borderId="13" xfId="0" applyFill="1" applyBorder="1"/>
    <xf numFmtId="0" fontId="0" fillId="3" borderId="12" xfId="0" applyFill="1" applyBorder="1"/>
    <xf numFmtId="0" fontId="0" fillId="3" borderId="16" xfId="0" applyFill="1" applyBorder="1"/>
    <xf numFmtId="0" fontId="0" fillId="3" borderId="24" xfId="0" applyFill="1" applyBorder="1"/>
    <xf numFmtId="0" fontId="0" fillId="3" borderId="4" xfId="0" applyFill="1" applyBorder="1"/>
    <xf numFmtId="0" fontId="0" fillId="11" borderId="1" xfId="0" applyFill="1" applyBorder="1" applyAlignment="1">
      <alignment horizontal="center"/>
    </xf>
    <xf numFmtId="0" fontId="0" fillId="11" borderId="2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0" fillId="11" borderId="6" xfId="0" applyFill="1" applyBorder="1" applyAlignment="1">
      <alignment horizontal="center"/>
    </xf>
    <xf numFmtId="0" fontId="2" fillId="11" borderId="2" xfId="0" applyFont="1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9" fontId="0" fillId="12" borderId="1" xfId="0" applyNumberFormat="1" applyFill="1" applyBorder="1" applyAlignment="1">
      <alignment horizontal="center"/>
    </xf>
    <xf numFmtId="0" fontId="0" fillId="12" borderId="6" xfId="0" applyFill="1" applyBorder="1" applyAlignment="1">
      <alignment horizontal="center"/>
    </xf>
    <xf numFmtId="0" fontId="6" fillId="5" borderId="9" xfId="0" applyFont="1" applyFill="1" applyBorder="1"/>
    <xf numFmtId="0" fontId="0" fillId="0" borderId="28" xfId="0" applyBorder="1"/>
    <xf numFmtId="0" fontId="0" fillId="0" borderId="27" xfId="0" applyBorder="1"/>
    <xf numFmtId="0" fontId="0" fillId="0" borderId="28" xfId="0" applyBorder="1" applyAlignment="1">
      <alignment horizontal="center"/>
    </xf>
    <xf numFmtId="0" fontId="0" fillId="0" borderId="27" xfId="0" applyBorder="1" applyAlignment="1">
      <alignment horizontal="center"/>
    </xf>
    <xf numFmtId="3" fontId="0" fillId="0" borderId="28" xfId="0" applyNumberFormat="1" applyBorder="1"/>
    <xf numFmtId="3" fontId="0" fillId="0" borderId="26" xfId="0" applyNumberFormat="1" applyBorder="1"/>
    <xf numFmtId="9" fontId="0" fillId="0" borderId="27" xfId="0" applyNumberFormat="1" applyBorder="1"/>
    <xf numFmtId="9" fontId="0" fillId="0" borderId="28" xfId="1" applyFont="1" applyBorder="1"/>
    <xf numFmtId="0" fontId="0" fillId="0" borderId="27" xfId="0" applyBorder="1" applyAlignment="1">
      <alignment horizontal="right"/>
    </xf>
    <xf numFmtId="0" fontId="0" fillId="3" borderId="27" xfId="0" applyFill="1" applyBorder="1"/>
    <xf numFmtId="0" fontId="4" fillId="5" borderId="6" xfId="0" applyFont="1" applyFill="1" applyBorder="1"/>
    <xf numFmtId="0" fontId="4" fillId="5" borderId="2" xfId="0" applyFont="1" applyFill="1" applyBorder="1"/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1" applyNumberFormat="1" applyFont="1" applyBorder="1" applyAlignment="1">
      <alignment horizontal="center"/>
    </xf>
    <xf numFmtId="0" fontId="0" fillId="0" borderId="7" xfId="0" applyBorder="1"/>
    <xf numFmtId="0" fontId="0" fillId="0" borderId="10" xfId="0" applyBorder="1"/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3" fontId="0" fillId="0" borderId="10" xfId="0" applyNumberFormat="1" applyBorder="1"/>
    <xf numFmtId="3" fontId="0" fillId="0" borderId="0" xfId="0" applyNumberFormat="1" applyBorder="1"/>
    <xf numFmtId="9" fontId="0" fillId="0" borderId="7" xfId="0" applyNumberFormat="1" applyBorder="1"/>
    <xf numFmtId="9" fontId="0" fillId="0" borderId="10" xfId="1" applyFont="1" applyBorder="1"/>
    <xf numFmtId="165" fontId="0" fillId="0" borderId="7" xfId="1" applyNumberFormat="1" applyFont="1" applyBorder="1"/>
    <xf numFmtId="9" fontId="0" fillId="0" borderId="0" xfId="1" applyFont="1" applyBorder="1"/>
    <xf numFmtId="0" fontId="0" fillId="0" borderId="7" xfId="0" applyBorder="1" applyAlignment="1">
      <alignment horizontal="right"/>
    </xf>
    <xf numFmtId="0" fontId="0" fillId="3" borderId="7" xfId="0" applyFill="1" applyBorder="1"/>
    <xf numFmtId="0" fontId="0" fillId="3" borderId="0" xfId="0" applyFill="1" applyBorder="1"/>
  </cellXfs>
  <cellStyles count="2">
    <cellStyle name="Normal" xfId="0" builtinId="0"/>
    <cellStyle name="Percent" xfId="1" builtinId="5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57150</xdr:rowOff>
        </xdr:from>
        <xdr:to>
          <xdr:col>0</xdr:col>
          <xdr:colOff>939800</xdr:colOff>
          <xdr:row>0</xdr:row>
          <xdr:rowOff>323850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Broad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69850</xdr:colOff>
          <xdr:row>0</xdr:row>
          <xdr:rowOff>38100</xdr:rowOff>
        </xdr:from>
        <xdr:to>
          <xdr:col>5</xdr:col>
          <xdr:colOff>1041400</xdr:colOff>
          <xdr:row>0</xdr:row>
          <xdr:rowOff>342900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0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1143000</xdr:colOff>
          <xdr:row>0</xdr:row>
          <xdr:rowOff>57150</xdr:rowOff>
        </xdr:from>
        <xdr:to>
          <xdr:col>0</xdr:col>
          <xdr:colOff>1860550</xdr:colOff>
          <xdr:row>0</xdr:row>
          <xdr:rowOff>323850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0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0</xdr:row>
          <xdr:rowOff>38100</xdr:rowOff>
        </xdr:from>
        <xdr:to>
          <xdr:col>13</xdr:col>
          <xdr:colOff>469900</xdr:colOff>
          <xdr:row>0</xdr:row>
          <xdr:rowOff>355600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0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PercAdm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101600</xdr:colOff>
          <xdr:row>0</xdr:row>
          <xdr:rowOff>38100</xdr:rowOff>
        </xdr:from>
        <xdr:to>
          <xdr:col>16</xdr:col>
          <xdr:colOff>577850</xdr:colOff>
          <xdr:row>0</xdr:row>
          <xdr:rowOff>355600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0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Category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0D4C2-649F-4B4C-9BB9-0405E1175694}">
  <sheetPr codeName="Sheet11">
    <pageSetUpPr fitToPage="1"/>
  </sheetPr>
  <dimension ref="A1:AL130"/>
  <sheetViews>
    <sheetView tabSelected="1" zoomScale="85" zoomScaleNormal="85" workbookViewId="0">
      <pane xSplit="1" ySplit="3" topLeftCell="B4" activePane="bottomRight" state="frozen"/>
      <selection activeCell="Y8" sqref="Y8"/>
      <selection pane="topRight" activeCell="Y8" sqref="Y8"/>
      <selection pane="bottomLeft" activeCell="Y8" sqref="Y8"/>
      <selection pane="bottomRight" activeCell="AF105" sqref="AF105"/>
    </sheetView>
  </sheetViews>
  <sheetFormatPr defaultColWidth="8.90625" defaultRowHeight="14.5" x14ac:dyDescent="0.35"/>
  <cols>
    <col min="1" max="1" width="30.81640625" customWidth="1"/>
    <col min="2" max="2" width="7.6328125" style="1" customWidth="1"/>
    <col min="3" max="3" width="8.1796875" style="1" customWidth="1"/>
    <col min="4" max="5" width="8.90625" customWidth="1"/>
    <col min="6" max="8" width="15.453125" customWidth="1"/>
    <col min="9" max="9" width="10.453125" style="1" customWidth="1"/>
    <col min="10" max="10" width="11" style="1" customWidth="1"/>
    <col min="11" max="12" width="8.453125" customWidth="1"/>
    <col min="13" max="13" width="8.453125" style="14" customWidth="1"/>
    <col min="14" max="14" width="7.36328125" customWidth="1"/>
    <col min="15" max="15" width="9.7265625" bestFit="1" customWidth="1"/>
    <col min="16" max="16" width="7.6328125" customWidth="1"/>
    <col min="17" max="17" width="9.81640625" bestFit="1" customWidth="1"/>
    <col min="18" max="18" width="7" customWidth="1"/>
    <col min="19" max="19" width="7.6328125" style="37" customWidth="1"/>
    <col min="20" max="20" width="6.26953125" style="1" hidden="1" customWidth="1"/>
    <col min="21" max="21" width="5.08984375" hidden="1" customWidth="1"/>
    <col min="22" max="22" width="6.81640625" customWidth="1"/>
    <col min="23" max="23" width="4.81640625" bestFit="1" customWidth="1"/>
    <col min="24" max="24" width="4.453125" bestFit="1" customWidth="1"/>
    <col min="25" max="27" width="4.81640625" style="1" customWidth="1"/>
    <col min="28" max="28" width="6.81640625" style="16" bestFit="1" customWidth="1"/>
    <col min="29" max="29" width="4.81640625" customWidth="1"/>
    <col min="30" max="30" width="9.453125" customWidth="1"/>
    <col min="31" max="31" width="6.26953125" bestFit="1" customWidth="1"/>
    <col min="32" max="32" width="7.36328125" bestFit="1" customWidth="1"/>
    <col min="33" max="33" width="3.7265625" bestFit="1" customWidth="1"/>
    <col min="35" max="35" width="38.1796875" bestFit="1" customWidth="1"/>
    <col min="36" max="36" width="10.36328125" bestFit="1" customWidth="1"/>
  </cols>
  <sheetData>
    <row r="1" spans="1:38" ht="31" customHeight="1" x14ac:dyDescent="0.35">
      <c r="A1" s="86"/>
      <c r="B1" s="84"/>
      <c r="C1" s="84"/>
      <c r="D1" s="85"/>
      <c r="E1" s="83"/>
      <c r="F1" s="83"/>
      <c r="M1" s="99"/>
      <c r="N1" s="86"/>
      <c r="P1" s="87"/>
      <c r="Q1" s="87"/>
      <c r="Y1" s="71">
        <v>3</v>
      </c>
      <c r="Z1" s="71">
        <v>4</v>
      </c>
      <c r="AA1" s="71">
        <v>5</v>
      </c>
      <c r="AB1" s="97">
        <v>7</v>
      </c>
      <c r="AF1" t="s">
        <v>484</v>
      </c>
    </row>
    <row r="2" spans="1:38" ht="35.5" customHeight="1" x14ac:dyDescent="0.7">
      <c r="A2" s="122" t="s">
        <v>481</v>
      </c>
      <c r="B2" s="133"/>
      <c r="C2" s="134"/>
      <c r="D2" s="68"/>
      <c r="E2" s="69"/>
      <c r="F2" s="42">
        <f>MATCH(F3,raw!$A$1:$CA$1,0)</f>
        <v>64</v>
      </c>
      <c r="G2" s="42">
        <f>MATCH(G3,raw!$A$1:$CA$1,0)</f>
        <v>65</v>
      </c>
      <c r="H2" s="42">
        <f>MATCH(H3,raw!$A$1:$CA$1,0)</f>
        <v>62</v>
      </c>
      <c r="I2" s="42">
        <f>MATCH("SATVR25",raw!$A$1:$CA$1,0)</f>
        <v>43</v>
      </c>
      <c r="J2" s="42">
        <f>MATCH("SATMT25",raw!$A$1:$CA$1,0)</f>
        <v>46</v>
      </c>
      <c r="K2" s="42">
        <f>MATCH(K3,raw!$A$1:$CA$1,0)</f>
        <v>14</v>
      </c>
      <c r="L2" s="42">
        <f>MATCH(L3,raw!$A$1:$CA$1,0)</f>
        <v>19</v>
      </c>
      <c r="M2" s="42">
        <f>MATCH(M3,raw!$A$1:$CA$1,0)</f>
        <v>58</v>
      </c>
      <c r="N2" s="42">
        <f>MATCH("APPLCNM",raw!$A$1:$CA$1,0)</f>
        <v>15</v>
      </c>
      <c r="O2" s="42">
        <f>MATCH("ADMSSNM",raw!$A$1:$CA$1,0)</f>
        <v>20</v>
      </c>
      <c r="P2" s="42">
        <f>MATCH("APPLCNW",raw!$A$1:$CA$1,0)</f>
        <v>16</v>
      </c>
      <c r="Q2" s="42">
        <f>MATCH("ADMSSNW",raw!$A$1:$CA$1,0)</f>
        <v>21</v>
      </c>
      <c r="R2" s="42">
        <f>MATCH(R3,raw!$A$1:$CA$1,0)</f>
        <v>29</v>
      </c>
      <c r="S2" s="70"/>
      <c r="T2" s="71"/>
      <c r="U2" s="42"/>
      <c r="V2" s="42"/>
      <c r="W2" s="42"/>
      <c r="X2" s="42"/>
      <c r="Y2" s="71"/>
      <c r="Z2" s="71"/>
      <c r="AA2" s="71"/>
      <c r="AB2" s="97"/>
      <c r="AC2" s="42"/>
      <c r="AF2" s="41"/>
      <c r="AG2" s="42"/>
    </row>
    <row r="3" spans="1:38" x14ac:dyDescent="0.35">
      <c r="A3" s="6" t="s">
        <v>132</v>
      </c>
      <c r="B3" s="135"/>
      <c r="C3" s="135"/>
      <c r="D3" s="135"/>
      <c r="E3" s="135"/>
      <c r="F3" s="116" t="s">
        <v>202</v>
      </c>
      <c r="G3" s="114" t="s">
        <v>203</v>
      </c>
      <c r="H3" s="115" t="s">
        <v>498</v>
      </c>
      <c r="I3" s="118" t="s">
        <v>439</v>
      </c>
      <c r="J3" s="119" t="s">
        <v>440</v>
      </c>
      <c r="K3" s="113" t="s">
        <v>171</v>
      </c>
      <c r="L3" s="116" t="s">
        <v>174</v>
      </c>
      <c r="M3" s="117" t="s">
        <v>198</v>
      </c>
      <c r="N3" s="120" t="s">
        <v>437</v>
      </c>
      <c r="O3" s="119" t="s">
        <v>441</v>
      </c>
      <c r="P3" s="121" t="s">
        <v>438</v>
      </c>
      <c r="Q3" s="119" t="s">
        <v>442</v>
      </c>
      <c r="R3" s="116" t="s">
        <v>177</v>
      </c>
      <c r="S3" s="38" t="s">
        <v>485</v>
      </c>
      <c r="T3" s="2"/>
      <c r="U3" s="4"/>
      <c r="V3" s="5" t="s">
        <v>482</v>
      </c>
      <c r="W3" s="7" t="s">
        <v>483</v>
      </c>
      <c r="X3" s="7" t="s">
        <v>460</v>
      </c>
      <c r="Y3" s="3" t="s">
        <v>462</v>
      </c>
      <c r="Z3" s="3" t="s">
        <v>463</v>
      </c>
      <c r="AA3" s="3" t="s">
        <v>471</v>
      </c>
      <c r="AB3" s="98" t="s">
        <v>472</v>
      </c>
      <c r="AC3" s="4" t="s">
        <v>461</v>
      </c>
      <c r="AD3" s="5" t="s">
        <v>349</v>
      </c>
      <c r="AE3" t="s">
        <v>444</v>
      </c>
      <c r="AF3" s="17" t="s">
        <v>168</v>
      </c>
      <c r="AG3" s="6" t="s">
        <v>131</v>
      </c>
      <c r="AH3" t="s">
        <v>424</v>
      </c>
      <c r="AI3" s="1"/>
      <c r="AJ3" s="1"/>
    </row>
    <row r="4" spans="1:38" x14ac:dyDescent="0.35">
      <c r="A4" s="29" t="str">
        <f>VLOOKUP($AF4,raw!$A$1:$CA$193,61,FALSE)</f>
        <v>Harvard University</v>
      </c>
      <c r="B4" s="136"/>
      <c r="C4" s="136"/>
      <c r="D4" s="137"/>
      <c r="E4" s="137"/>
      <c r="F4" s="27" t="str">
        <f>VLOOKUP($AF4,raw!$A$1:$CA$193,F$2,FALSE)</f>
        <v>Cambridge</v>
      </c>
      <c r="G4" s="33" t="str">
        <f>VLOOKUP($AF4,raw!$A$1:$CA$193,G$2,FALSE)</f>
        <v>MA</v>
      </c>
      <c r="H4" s="33" t="str">
        <f>VLOOKUP($AF4,raw!$A$1:$CA$193,H$2,FALSE)</f>
        <v>City: Midsize</v>
      </c>
      <c r="I4" s="55" t="str">
        <f>CONCATENATE(VLOOKUP($AF4,raw!$A$1:$BZ$193,I$2,FALSE)," - ",VLOOKUP($AF4,raw!$A$1:$BZ$193,I$2+2,FALSE))</f>
        <v>740 - 780</v>
      </c>
      <c r="J4" s="56" t="str">
        <f>CONCATENATE(VLOOKUP($AF4,raw!$A$1:$BZ$193,J$2,FALSE)," - ",VLOOKUP($AF4,raw!$A$1:$BZ$193,J$2+2,FALSE))</f>
        <v>760 - 800</v>
      </c>
      <c r="K4" s="52">
        <f>VLOOKUP($AF4,raw!$A$1:$BZ$193,K$2,FALSE)</f>
        <v>56937</v>
      </c>
      <c r="L4" s="49">
        <f>VLOOKUP($AF4,raw!$A$1:$BZ$193,L$2,FALSE)</f>
        <v>1965</v>
      </c>
      <c r="M4" s="64">
        <f>VLOOKUP($AF4,raw!$A$1:$BZ$193,M$2,FALSE)/100</f>
        <v>0.03</v>
      </c>
      <c r="N4" s="61">
        <f>VLOOKUP($AF4,raw!$A$1:$BZ$193,N$2,FALSE)/K4</f>
        <v>0.46193160862005372</v>
      </c>
      <c r="O4" s="76">
        <f>IF(N4&gt;0,(VLOOKUP($AF4,raw!$A$1:$BZ$193,O$2,FALSE)/(L4*N4)-0),1)</f>
        <v>1.0069454880971351</v>
      </c>
      <c r="P4" s="35">
        <f>VLOOKUP($AF4,raw!$A$1:$BZ$193,P$2,FALSE)/K4</f>
        <v>0.53806839137994622</v>
      </c>
      <c r="Q4" s="76">
        <f>IF(P4&gt;0,(VLOOKUP($AF4,raw!$A$1:$BZ$193,Q$2,FALSE)/(L4*P4)-0),1)</f>
        <v>0.99403729982886979</v>
      </c>
      <c r="R4" s="49">
        <f>VLOOKUP($AF4,raw!$A$1:$BZ$193,R$2,FALSE)</f>
        <v>1645</v>
      </c>
      <c r="S4" s="39" t="str">
        <f t="shared" ref="S4:S35" si="0">VLOOKUP(R4,$AK$5:$AL$8,2,TRUE)</f>
        <v>m</v>
      </c>
      <c r="T4" s="33"/>
      <c r="U4" s="27"/>
      <c r="V4" s="108"/>
      <c r="W4" s="101"/>
      <c r="X4" s="109"/>
      <c r="Y4" s="26"/>
      <c r="Z4" s="26"/>
      <c r="AA4" s="26"/>
      <c r="AB4" s="35"/>
      <c r="AC4" s="25"/>
      <c r="AD4" s="27"/>
      <c r="AE4" s="26"/>
      <c r="AF4" s="101">
        <v>166027</v>
      </c>
      <c r="AG4" s="26">
        <v>32</v>
      </c>
    </row>
    <row r="5" spans="1:38" x14ac:dyDescent="0.35">
      <c r="A5" s="29" t="str">
        <f>VLOOKUP($AF5,raw!$A$1:$CA$193,61,FALSE)</f>
        <v>Columbia University in the City of New York</v>
      </c>
      <c r="B5" s="136"/>
      <c r="C5" s="136"/>
      <c r="D5" s="137"/>
      <c r="E5" s="137"/>
      <c r="F5" s="29" t="str">
        <f>VLOOKUP($AF5,raw!$A$1:$CA$193,F$2,FALSE)</f>
        <v>New York</v>
      </c>
      <c r="G5" s="30" t="str">
        <f>VLOOKUP($AF5,raw!$A$1:$CA$193,G$2,FALSE)</f>
        <v>NY</v>
      </c>
      <c r="H5" s="34" t="str">
        <f>VLOOKUP($AF5,raw!$A$1:$CA$193,H$2,FALSE)</f>
        <v>City: Large</v>
      </c>
      <c r="I5" s="57" t="str">
        <f>CONCATENATE(VLOOKUP($AF5,raw!$A$1:$BZ$193,I$2,FALSE)," - ",VLOOKUP($AF5,raw!$A$1:$BZ$193,I$2+2,FALSE))</f>
        <v>730 - 770</v>
      </c>
      <c r="J5" s="58" t="str">
        <f>CONCATENATE(VLOOKUP($AF5,raw!$A$1:$BZ$193,J$2,FALSE)," - ",VLOOKUP($AF5,raw!$A$1:$BZ$193,J$2+2,FALSE))</f>
        <v>760 - 800</v>
      </c>
      <c r="K5" s="53">
        <f>VLOOKUP($AF5,raw!$A$1:$BZ$193,K$2,FALSE)</f>
        <v>57613</v>
      </c>
      <c r="L5" s="50">
        <f>VLOOKUP($AF5,raw!$A$1:$BZ$193,L$2,FALSE)</f>
        <v>2439</v>
      </c>
      <c r="M5" s="65">
        <f>VLOOKUP($AF5,raw!$A$1:$BZ$193,M$2,FALSE)/100</f>
        <v>0.04</v>
      </c>
      <c r="N5" s="62">
        <f>VLOOKUP($AF5,raw!$A$1:$BZ$193,N$2,FALSE)/K5</f>
        <v>0.4160866471108951</v>
      </c>
      <c r="O5" s="77">
        <f>IF(N5&gt;0,(VLOOKUP($AF5,raw!$A$1:$BZ$193,O$2,FALSE)/(L5*N5)-0),1)</f>
        <v>1.1568379249619294</v>
      </c>
      <c r="P5" s="36">
        <f>VLOOKUP($AF5,raw!$A$1:$BZ$193,P$2,FALSE)/K5</f>
        <v>0.56327564959297383</v>
      </c>
      <c r="Q5" s="77">
        <f>IF(P5&gt;0,(VLOOKUP($AF5,raw!$A$1:$BZ$193,Q$2,FALSE)/(L5*P5)-0),1)</f>
        <v>0.8807498804681132</v>
      </c>
      <c r="R5" s="50">
        <f>VLOOKUP($AF5,raw!$A$1:$BZ$193,R$2,FALSE)</f>
        <v>1500</v>
      </c>
      <c r="S5" s="40" t="str">
        <f t="shared" si="0"/>
        <v>m</v>
      </c>
      <c r="T5" s="34"/>
      <c r="U5" s="30"/>
      <c r="V5" s="110" t="s">
        <v>445</v>
      </c>
      <c r="W5" s="102">
        <v>1</v>
      </c>
      <c r="X5" s="105"/>
      <c r="Y5" s="29"/>
      <c r="Z5" s="29"/>
      <c r="AA5" s="29"/>
      <c r="AB5" s="36"/>
      <c r="AC5" s="28"/>
      <c r="AD5" s="30"/>
      <c r="AE5" s="29"/>
      <c r="AF5" s="102">
        <v>190150</v>
      </c>
      <c r="AG5" s="29">
        <v>21</v>
      </c>
      <c r="AK5" s="8">
        <v>0</v>
      </c>
      <c r="AL5" s="9" t="s">
        <v>353</v>
      </c>
    </row>
    <row r="6" spans="1:38" x14ac:dyDescent="0.35">
      <c r="A6" s="29" t="str">
        <f>VLOOKUP($AF6,raw!$A$1:$CA$193,61,FALSE)</f>
        <v>Massachusetts Institute of Technology</v>
      </c>
      <c r="B6" s="136"/>
      <c r="C6" s="136"/>
      <c r="D6" s="137"/>
      <c r="E6" s="137"/>
      <c r="F6" s="29" t="str">
        <f>VLOOKUP($AF6,raw!$A$1:$CA$193,F$2,FALSE)</f>
        <v>Cambridge</v>
      </c>
      <c r="G6" s="30" t="str">
        <f>VLOOKUP($AF6,raw!$A$1:$CA$193,G$2,FALSE)</f>
        <v>MA</v>
      </c>
      <c r="H6" s="34" t="str">
        <f>VLOOKUP($AF6,raw!$A$1:$CA$193,H$2,FALSE)</f>
        <v>City: Midsize</v>
      </c>
      <c r="I6" s="57" t="str">
        <f>CONCATENATE(VLOOKUP($AF6,raw!$A$1:$BZ$193,I$2,FALSE)," - ",VLOOKUP($AF6,raw!$A$1:$BZ$193,I$2+2,FALSE))</f>
        <v>730 - 780</v>
      </c>
      <c r="J6" s="58" t="str">
        <f>CONCATENATE(VLOOKUP($AF6,raw!$A$1:$BZ$193,J$2,FALSE)," - ",VLOOKUP($AF6,raw!$A$1:$BZ$193,J$2+2,FALSE))</f>
        <v>780 - 800</v>
      </c>
      <c r="K6" s="53">
        <f>VLOOKUP($AF6,raw!$A$1:$BZ$193,K$2,FALSE)</f>
        <v>26904</v>
      </c>
      <c r="L6" s="50">
        <f>VLOOKUP($AF6,raw!$A$1:$BZ$193,L$2,FALSE)</f>
        <v>1274</v>
      </c>
      <c r="M6" s="65">
        <f>VLOOKUP($AF6,raw!$A$1:$BZ$193,M$2,FALSE)/100</f>
        <v>0.05</v>
      </c>
      <c r="N6" s="62">
        <f>VLOOKUP($AF6,raw!$A$1:$BZ$193,N$2,FALSE)/K6</f>
        <v>0.61581920903954801</v>
      </c>
      <c r="O6" s="77">
        <f>IF(N6&gt;0,(VLOOKUP($AF6,raw!$A$1:$BZ$193,O$2,FALSE)/(L6*N6)-0),1)</f>
        <v>0.76604064349804857</v>
      </c>
      <c r="P6" s="36">
        <f>VLOOKUP($AF6,raw!$A$1:$BZ$193,P$2,FALSE)/K6</f>
        <v>0.33225542670234909</v>
      </c>
      <c r="Q6" s="77">
        <f>IF(P6&gt;0,(VLOOKUP($AF6,raw!$A$1:$BZ$193,Q$2,FALSE)/(L6*P6)-0),1)</f>
        <v>1.4883293236576602</v>
      </c>
      <c r="R6" s="50">
        <f>VLOOKUP($AF6,raw!$A$1:$BZ$193,R$2,FALSE)</f>
        <v>1091</v>
      </c>
      <c r="S6" s="40" t="str">
        <f t="shared" si="0"/>
        <v>m</v>
      </c>
      <c r="T6" s="34"/>
      <c r="U6" s="30"/>
      <c r="V6" s="110"/>
      <c r="W6" s="102"/>
      <c r="X6" s="105"/>
      <c r="Y6" s="29"/>
      <c r="Z6" s="29"/>
      <c r="AA6" s="29"/>
      <c r="AB6" s="36"/>
      <c r="AC6" s="28"/>
      <c r="AD6" s="30"/>
      <c r="AE6" s="29"/>
      <c r="AF6" s="102">
        <v>166683</v>
      </c>
      <c r="AG6" s="29">
        <v>41</v>
      </c>
      <c r="AK6" s="10">
        <v>1000</v>
      </c>
      <c r="AL6" s="11" t="s">
        <v>352</v>
      </c>
    </row>
    <row r="7" spans="1:38" x14ac:dyDescent="0.35">
      <c r="A7" s="29" t="str">
        <f>VLOOKUP($AF7,raw!$A$1:$CA$193,61,FALSE)</f>
        <v>Stanford University</v>
      </c>
      <c r="B7" s="136"/>
      <c r="C7" s="136"/>
      <c r="D7" s="137"/>
      <c r="E7" s="137"/>
      <c r="F7" s="29" t="str">
        <f>VLOOKUP($AF7,raw!$A$1:$CA$193,F$2,FALSE)</f>
        <v>Stanford</v>
      </c>
      <c r="G7" s="30" t="str">
        <f>VLOOKUP($AF7,raw!$A$1:$CA$193,G$2,FALSE)</f>
        <v>CA</v>
      </c>
      <c r="H7" s="34" t="str">
        <f>VLOOKUP($AF7,raw!$A$1:$CA$193,H$2,FALSE)</f>
        <v>Suburb: Large</v>
      </c>
      <c r="I7" s="57" t="str">
        <f>CONCATENATE(VLOOKUP($AF7,raw!$A$1:$BZ$193,I$2,FALSE)," - ",VLOOKUP($AF7,raw!$A$1:$BZ$193,I$2+2,FALSE))</f>
        <v>740 - 780</v>
      </c>
      <c r="J7" s="58" t="str">
        <f>CONCATENATE(VLOOKUP($AF7,raw!$A$1:$BZ$193,J$2,FALSE)," - ",VLOOKUP($AF7,raw!$A$1:$BZ$193,J$2+2,FALSE))</f>
        <v>770 - 800</v>
      </c>
      <c r="K7" s="53">
        <f>VLOOKUP($AF7,raw!$A$1:$BZ$193,K$2,FALSE)</f>
        <v>53733</v>
      </c>
      <c r="L7" s="50">
        <f>VLOOKUP($AF7,raw!$A$1:$BZ$193,L$2,FALSE)</f>
        <v>2099</v>
      </c>
      <c r="M7" s="65">
        <f>VLOOKUP($AF7,raw!$A$1:$BZ$193,M$2,FALSE)/100</f>
        <v>0.04</v>
      </c>
      <c r="N7" s="62">
        <f>VLOOKUP($AF7,raw!$A$1:$BZ$193,N$2,FALSE)/K7</f>
        <v>0.50495970818677538</v>
      </c>
      <c r="O7" s="77">
        <f>IF(N7&gt;0,(VLOOKUP($AF7,raw!$A$1:$BZ$193,O$2,FALSE)/(L7*N7)-0),1)</f>
        <v>0.98498889427684111</v>
      </c>
      <c r="P7" s="36">
        <f>VLOOKUP($AF7,raw!$A$1:$BZ$193,P$2,FALSE)/K7</f>
        <v>0.49504029181322468</v>
      </c>
      <c r="Q7" s="77">
        <f>IF(P7&gt;0,(VLOOKUP($AF7,raw!$A$1:$BZ$193,Q$2,FALSE)/(L7*P7)-0),1)</f>
        <v>1.0153118921649047</v>
      </c>
      <c r="R7" s="50">
        <f>VLOOKUP($AF7,raw!$A$1:$BZ$193,R$2,FALSE)</f>
        <v>1699</v>
      </c>
      <c r="S7" s="40" t="str">
        <f t="shared" si="0"/>
        <v>m</v>
      </c>
      <c r="T7" s="34"/>
      <c r="U7" s="30"/>
      <c r="V7" s="110"/>
      <c r="W7" s="102"/>
      <c r="X7" s="105"/>
      <c r="Y7" s="29"/>
      <c r="Z7" s="29"/>
      <c r="AA7" s="29"/>
      <c r="AB7" s="36"/>
      <c r="AC7" s="28"/>
      <c r="AD7" s="30"/>
      <c r="AE7" s="29"/>
      <c r="AF7" s="102">
        <v>243744</v>
      </c>
      <c r="AG7" s="29">
        <v>58</v>
      </c>
      <c r="AK7" s="10">
        <v>2000</v>
      </c>
      <c r="AL7" s="11" t="s">
        <v>351</v>
      </c>
    </row>
    <row r="8" spans="1:38" x14ac:dyDescent="0.35">
      <c r="A8" s="29" t="str">
        <f>VLOOKUP($AF8,raw!$A$1:$CA$193,61,FALSE)</f>
        <v>University of Chicago</v>
      </c>
      <c r="B8" s="136"/>
      <c r="C8" s="136"/>
      <c r="D8" s="137"/>
      <c r="E8" s="137"/>
      <c r="F8" s="29" t="str">
        <f>VLOOKUP($AF8,raw!$A$1:$CA$193,F$2,FALSE)</f>
        <v>Chicago</v>
      </c>
      <c r="G8" s="30" t="str">
        <f>VLOOKUP($AF8,raw!$A$1:$CA$193,G$2,FALSE)</f>
        <v>IL</v>
      </c>
      <c r="H8" s="34" t="str">
        <f>VLOOKUP($AF8,raw!$A$1:$CA$193,H$2,FALSE)</f>
        <v>City: Large</v>
      </c>
      <c r="I8" s="57" t="str">
        <f>CONCATENATE(VLOOKUP($AF8,raw!$A$1:$BZ$193,I$2,FALSE)," - ",VLOOKUP($AF8,raw!$A$1:$BZ$193,I$2+2,FALSE))</f>
        <v>740 - 770</v>
      </c>
      <c r="J8" s="58" t="str">
        <f>CONCATENATE(VLOOKUP($AF8,raw!$A$1:$BZ$193,J$2,FALSE)," - ",VLOOKUP($AF8,raw!$A$1:$BZ$193,J$2+2,FALSE))</f>
        <v>770 - 800</v>
      </c>
      <c r="K8" s="53">
        <f>VLOOKUP($AF8,raw!$A$1:$BZ$193,K$2,FALSE)</f>
        <v>38631</v>
      </c>
      <c r="L8" s="50">
        <f>VLOOKUP($AF8,raw!$A$1:$BZ$193,L$2,FALSE)</f>
        <v>1849</v>
      </c>
      <c r="M8" s="65">
        <f>VLOOKUP($AF8,raw!$A$1:$BZ$193,M$2,FALSE)/100</f>
        <v>0.05</v>
      </c>
      <c r="N8" s="62">
        <f>VLOOKUP($AF8,raw!$A$1:$BZ$193,N$2,FALSE)/K8</f>
        <v>0.44971654888561002</v>
      </c>
      <c r="O8" s="77">
        <f>IF(N8&gt;0,(VLOOKUP($AF8,raw!$A$1:$BZ$193,O$2,FALSE)/(L8*N8)-0),1)</f>
        <v>1.1953927127555402</v>
      </c>
      <c r="P8" s="36">
        <f>VLOOKUP($AF8,raw!$A$1:$BZ$193,P$2,FALSE)/K8</f>
        <v>0.55005047759571324</v>
      </c>
      <c r="Q8" s="77">
        <f>IF(P8&gt;0,(VLOOKUP($AF8,raw!$A$1:$BZ$193,Q$2,FALSE)/(L8*P8)-0),1)</f>
        <v>0.84067214463259443</v>
      </c>
      <c r="R8" s="50">
        <f>VLOOKUP($AF8,raw!$A$1:$BZ$193,R$2,FALSE)</f>
        <v>1626</v>
      </c>
      <c r="S8" s="40" t="str">
        <f t="shared" si="0"/>
        <v>m</v>
      </c>
      <c r="T8" s="57"/>
      <c r="U8" s="34"/>
      <c r="V8" s="110" t="s">
        <v>445</v>
      </c>
      <c r="W8" s="102">
        <v>1</v>
      </c>
      <c r="X8" s="105">
        <v>1</v>
      </c>
      <c r="Y8" s="1" t="str">
        <f>IF(ISERROR(VLOOKUP($A8,deadlines!$B$2:$H$52,Y$1,FALSE)),"dk",IF(ISERROR(VLOOKUP($A8,deadlines!$B$2:$H$52,Y$1,FALSE)+1),"","Y"))</f>
        <v>Y</v>
      </c>
      <c r="Z8" s="75" t="str">
        <f>IF(ISERROR(VLOOKUP($A8,deadlines!$B$2:$H$52,Z$1,FALSE)),"dk",IF(ISERROR(VLOOKUP($A8,deadlines!$B$2:$H$52,Z$1,FALSE)+1),"","Y"))</f>
        <v>Y</v>
      </c>
      <c r="AA8" s="75" t="str">
        <f>IF(ISERROR(VLOOKUP($A8,deadlines!$B$2:$H$52,AA$1,FALSE)),"dk",IF(ISERROR(VLOOKUP($A8,deadlines!$B$2:$H$52,AA$1,FALSE)+1),"","Y"))</f>
        <v>Y</v>
      </c>
      <c r="AB8" s="95" t="str">
        <f>IF(ISERROR(VLOOKUP($A8,deadlines!$B$2:$H$52,AB$1,FALSE)),"",VLOOKUP($A8,deadlines!$B$2:$H$52,AB$1,FALSE))</f>
        <v>n/a</v>
      </c>
      <c r="AC8" s="28"/>
      <c r="AD8" s="30"/>
      <c r="AE8" s="29"/>
      <c r="AF8" s="102">
        <v>144050</v>
      </c>
      <c r="AG8" s="29">
        <v>68</v>
      </c>
      <c r="AK8" s="12">
        <v>9999</v>
      </c>
      <c r="AL8" s="13" t="s">
        <v>350</v>
      </c>
    </row>
    <row r="9" spans="1:38" x14ac:dyDescent="0.35">
      <c r="A9" s="29" t="str">
        <f>VLOOKUP($AF9,raw!$A$1:$CA$193,61,FALSE)</f>
        <v>Brown University</v>
      </c>
      <c r="B9" s="136"/>
      <c r="C9" s="136"/>
      <c r="D9" s="137"/>
      <c r="E9" s="137"/>
      <c r="F9" s="29" t="str">
        <f>VLOOKUP($AF9,raw!$A$1:$CA$193,F$2,FALSE)</f>
        <v>Providence</v>
      </c>
      <c r="G9" s="30" t="str">
        <f>VLOOKUP($AF9,raw!$A$1:$CA$193,G$2,FALSE)</f>
        <v>RI</v>
      </c>
      <c r="H9" s="34" t="str">
        <f>VLOOKUP($AF9,raw!$A$1:$CA$193,H$2,FALSE)</f>
        <v>City: Midsize</v>
      </c>
      <c r="I9" s="57" t="str">
        <f>CONCATENATE(VLOOKUP($AF9,raw!$A$1:$BZ$193,I$2,FALSE)," - ",VLOOKUP($AF9,raw!$A$1:$BZ$193,I$2+2,FALSE))</f>
        <v>740 - 770</v>
      </c>
      <c r="J9" s="58" t="str">
        <f>CONCATENATE(VLOOKUP($AF9,raw!$A$1:$BZ$193,J$2,FALSE)," - ",VLOOKUP($AF9,raw!$A$1:$BZ$193,J$2+2,FALSE))</f>
        <v>760 - 800</v>
      </c>
      <c r="K9" s="53">
        <f>VLOOKUP($AF9,raw!$A$1:$BZ$193,K$2,FALSE)</f>
        <v>51316</v>
      </c>
      <c r="L9" s="50">
        <f>VLOOKUP($AF9,raw!$A$1:$BZ$193,L$2,FALSE)</f>
        <v>2686</v>
      </c>
      <c r="M9" s="65">
        <f>VLOOKUP($AF9,raw!$A$1:$BZ$193,M$2,FALSE)/100</f>
        <v>0.05</v>
      </c>
      <c r="N9" s="62">
        <f>VLOOKUP($AF9,raw!$A$1:$BZ$193,N$2,FALSE)/K9</f>
        <v>0.38323329955569413</v>
      </c>
      <c r="O9" s="77">
        <f>IF(N9&gt;0,(VLOOKUP($AF9,raw!$A$1:$BZ$193,O$2,FALSE)/(L9*N9)-0),1)</f>
        <v>1.3114886058078321</v>
      </c>
      <c r="P9" s="36">
        <f>VLOOKUP($AF9,raw!$A$1:$BZ$193,P$2,FALSE)/K9</f>
        <v>0.61676670044430582</v>
      </c>
      <c r="Q9" s="77">
        <f>IF(P9&gt;0,(VLOOKUP($AF9,raw!$A$1:$BZ$193,Q$2,FALSE)/(L9*P9)-0),1)</f>
        <v>0.80645387292837833</v>
      </c>
      <c r="R9" s="50">
        <f>VLOOKUP($AF9,raw!$A$1:$BZ$193,R$2,FALSE)</f>
        <v>1695</v>
      </c>
      <c r="S9" s="40" t="str">
        <f t="shared" si="0"/>
        <v>m</v>
      </c>
      <c r="T9" s="57"/>
      <c r="U9" s="34"/>
      <c r="V9" s="110" t="s">
        <v>445</v>
      </c>
      <c r="W9" s="102">
        <v>1</v>
      </c>
      <c r="X9" s="105">
        <v>1</v>
      </c>
      <c r="Y9" s="75" t="str">
        <f>IF(ISERROR(VLOOKUP($A9,deadlines!$B$2:$H$52,Y$1,FALSE)),"dk",IF(ISERROR(VLOOKUP($A9,deadlines!$B$2:$H$52,Y$1,FALSE)+1),"","Y"))</f>
        <v>Y</v>
      </c>
      <c r="Z9" s="75" t="str">
        <f>IF(ISERROR(VLOOKUP($A9,deadlines!$B$2:$H$52,Z$1,FALSE)),"dk",IF(ISERROR(VLOOKUP($A9,deadlines!$B$2:$H$52,Z$1,FALSE)+1),"","Y"))</f>
        <v/>
      </c>
      <c r="AA9" s="75" t="str">
        <f>IF(ISERROR(VLOOKUP($A9,deadlines!$B$2:$H$52,AA$1,FALSE)),"dk",IF(ISERROR(VLOOKUP($A9,deadlines!$B$2:$H$52,AA$1,FALSE)+1),"","Y"))</f>
        <v/>
      </c>
      <c r="AB9" s="95">
        <f>IF(ISERROR(VLOOKUP($A9,deadlines!$B$2:$H$52,AB$1,FALSE)),"",VLOOKUP($A9,deadlines!$B$2:$H$52,AB$1,FALSE))</f>
        <v>0.14000000000000001</v>
      </c>
      <c r="AC9" s="28"/>
      <c r="AD9" s="30"/>
      <c r="AE9" s="29"/>
      <c r="AF9" s="102">
        <v>217156</v>
      </c>
      <c r="AG9" s="29">
        <v>11</v>
      </c>
    </row>
    <row r="10" spans="1:38" x14ac:dyDescent="0.35">
      <c r="A10" s="29" t="str">
        <f>VLOOKUP($AF10,raw!$A$1:$CA$193,61,FALSE)</f>
        <v>Yale University</v>
      </c>
      <c r="B10" s="136"/>
      <c r="C10" s="136"/>
      <c r="D10" s="137"/>
      <c r="E10" s="137"/>
      <c r="F10" s="29" t="str">
        <f>VLOOKUP($AF10,raw!$A$1:$CA$193,F$2,FALSE)</f>
        <v>New Haven</v>
      </c>
      <c r="G10" s="30" t="str">
        <f>VLOOKUP($AF10,raw!$A$1:$CA$193,G$2,FALSE)</f>
        <v>CT</v>
      </c>
      <c r="H10" s="34" t="str">
        <f>VLOOKUP($AF10,raw!$A$1:$CA$193,H$2,FALSE)</f>
        <v>City: Midsize</v>
      </c>
      <c r="I10" s="57" t="str">
        <f>CONCATENATE(VLOOKUP($AF10,raw!$A$1:$BZ$193,I$2,FALSE)," - ",VLOOKUP($AF10,raw!$A$1:$BZ$193,I$2+2,FALSE))</f>
        <v>740 - 780</v>
      </c>
      <c r="J10" s="58" t="str">
        <f>CONCATENATE(VLOOKUP($AF10,raw!$A$1:$BZ$193,J$2,FALSE)," - ",VLOOKUP($AF10,raw!$A$1:$BZ$193,J$2+2,FALSE))</f>
        <v>760 - 800</v>
      </c>
      <c r="K10" s="53">
        <f>VLOOKUP($AF10,raw!$A$1:$BZ$193,K$2,FALSE)</f>
        <v>51803</v>
      </c>
      <c r="L10" s="50">
        <f>VLOOKUP($AF10,raw!$A$1:$BZ$193,L$2,FALSE)</f>
        <v>2332</v>
      </c>
      <c r="M10" s="65">
        <f>VLOOKUP($AF10,raw!$A$1:$BZ$193,M$2,FALSE)/100</f>
        <v>0.05</v>
      </c>
      <c r="N10" s="62">
        <f>VLOOKUP($AF10,raw!$A$1:$BZ$193,N$2,FALSE)/K10</f>
        <v>0.42474374070999749</v>
      </c>
      <c r="O10" s="77">
        <f>IF(N10&gt;0,(VLOOKUP($AF10,raw!$A$1:$BZ$193,O$2,FALSE)/(L10*N10)-0),1)</f>
        <v>1.1378064265211301</v>
      </c>
      <c r="P10" s="36">
        <f>VLOOKUP($AF10,raw!$A$1:$BZ$193,P$2,FALSE)/K10</f>
        <v>0.57523695538868402</v>
      </c>
      <c r="Q10" s="77">
        <f>IF(P10&gt;0,(VLOOKUP($AF10,raw!$A$1:$BZ$193,Q$2,FALSE)/(L10*P10)-0),1)</f>
        <v>0.89827998245765217</v>
      </c>
      <c r="R10" s="50">
        <f>VLOOKUP($AF10,raw!$A$1:$BZ$193,R$2,FALSE)</f>
        <v>1641</v>
      </c>
      <c r="S10" s="40" t="str">
        <f t="shared" si="0"/>
        <v>m</v>
      </c>
      <c r="T10" s="34"/>
      <c r="U10" s="30"/>
      <c r="V10" s="110"/>
      <c r="W10" s="102"/>
      <c r="X10" s="105"/>
      <c r="Y10" s="29" t="str">
        <f>IF(ISERROR(VLOOKUP($A10,deadlines!$B$2:$H$52,Y$1,FALSE)),"dk",IF(ISERROR(VLOOKUP($A10,deadlines!$B$2:$H$52,Y$1,FALSE)+1),"","Y"))</f>
        <v>dk</v>
      </c>
      <c r="Z10" s="29" t="str">
        <f>IF(ISERROR(VLOOKUP($A10,deadlines!$B$2:$H$52,Z$1,FALSE)),"dk",IF(ISERROR(VLOOKUP($A10,deadlines!$B$2:$H$52,Z$1,FALSE)+1),"","Y"))</f>
        <v>dk</v>
      </c>
      <c r="AA10" s="29" t="str">
        <f>IF(ISERROR(VLOOKUP($A10,deadlines!$B$2:$H$52,AA$1,FALSE)),"dk",IF(ISERROR(VLOOKUP($A10,deadlines!$B$2:$H$52,AA$1,FALSE)+1),"","Y"))</f>
        <v>dk</v>
      </c>
      <c r="AB10" s="36" t="str">
        <f>IF(ISERROR(VLOOKUP($A10,deadlines!$B$2:$H$52,AB$1,FALSE)),"",VLOOKUP($A10,deadlines!$B$2:$H$52,AB$1,FALSE))</f>
        <v/>
      </c>
      <c r="AC10" s="28"/>
      <c r="AD10" s="30"/>
      <c r="AE10" s="29"/>
      <c r="AF10" s="102">
        <v>130794</v>
      </c>
      <c r="AG10" s="29">
        <v>92</v>
      </c>
    </row>
    <row r="11" spans="1:38" x14ac:dyDescent="0.35">
      <c r="A11" s="29" t="str">
        <f>VLOOKUP($AF11,raw!$A$1:$CA$193,61,FALSE)</f>
        <v>Dartmouth College</v>
      </c>
      <c r="B11" s="136"/>
      <c r="C11" s="136"/>
      <c r="D11" s="137"/>
      <c r="E11" s="137"/>
      <c r="F11" s="29" t="str">
        <f>VLOOKUP($AF11,raw!$A$1:$CA$193,F$2,FALSE)</f>
        <v>Hanover</v>
      </c>
      <c r="G11" s="30" t="str">
        <f>VLOOKUP($AF11,raw!$A$1:$CA$193,G$2,FALSE)</f>
        <v>NH</v>
      </c>
      <c r="H11" s="34" t="str">
        <f>VLOOKUP($AF11,raw!$A$1:$CA$193,H$2,FALSE)</f>
        <v>Town: Remote</v>
      </c>
      <c r="I11" s="57" t="str">
        <f>CONCATENATE(VLOOKUP($AF11,raw!$A$1:$BZ$193,I$2,FALSE)," - ",VLOOKUP($AF11,raw!$A$1:$BZ$193,I$2+2,FALSE))</f>
        <v>740 - 780</v>
      </c>
      <c r="J11" s="58" t="str">
        <f>CONCATENATE(VLOOKUP($AF11,raw!$A$1:$BZ$193,J$2,FALSE)," - ",VLOOKUP($AF11,raw!$A$1:$BZ$193,J$2+2,FALSE))</f>
        <v>760 - 790</v>
      </c>
      <c r="K11" s="53">
        <f>VLOOKUP($AF11,raw!$A$1:$BZ$193,K$2,FALSE)</f>
        <v>28841</v>
      </c>
      <c r="L11" s="50">
        <f>VLOOKUP($AF11,raw!$A$1:$BZ$193,L$2,FALSE)</f>
        <v>1797</v>
      </c>
      <c r="M11" s="65">
        <f>VLOOKUP($AF11,raw!$A$1:$BZ$193,M$2,FALSE)/100</f>
        <v>0.06</v>
      </c>
      <c r="N11" s="62">
        <f>VLOOKUP($AF11,raw!$A$1:$BZ$193,N$2,FALSE)/K11</f>
        <v>0.45983148989286088</v>
      </c>
      <c r="O11" s="77">
        <f>IF(N11&gt;0,(VLOOKUP($AF11,raw!$A$1:$BZ$193,O$2,FALSE)/(L11*N11)-0),1)</f>
        <v>1.086749753921376</v>
      </c>
      <c r="P11" s="36">
        <f>VLOOKUP($AF11,raw!$A$1:$BZ$193,P$2,FALSE)/K11</f>
        <v>0.51385180818972986</v>
      </c>
      <c r="Q11" s="77">
        <f>IF(P11&gt;0,(VLOOKUP($AF11,raw!$A$1:$BZ$193,Q$2,FALSE)/(L11*P11)-0),1)</f>
        <v>0.92918314149313186</v>
      </c>
      <c r="R11" s="50">
        <f>VLOOKUP($AF11,raw!$A$1:$BZ$193,R$2,FALSE)</f>
        <v>1206</v>
      </c>
      <c r="S11" s="40" t="str">
        <f t="shared" si="0"/>
        <v>m</v>
      </c>
      <c r="T11" s="28"/>
      <c r="U11" s="34"/>
      <c r="V11" s="110" t="s">
        <v>445</v>
      </c>
      <c r="W11" s="102">
        <v>1</v>
      </c>
      <c r="X11" s="105">
        <v>1</v>
      </c>
      <c r="Y11" s="75" t="str">
        <f>IF(ISERROR(VLOOKUP($A11,deadlines!$B$2:$H$52,Y$1,FALSE)),"dk",IF(ISERROR(VLOOKUP($A11,deadlines!$B$2:$H$52,Y$1,FALSE)+1),"","Y"))</f>
        <v>Y</v>
      </c>
      <c r="Z11" s="75" t="str">
        <f>IF(ISERROR(VLOOKUP($A11,deadlines!$B$2:$H$52,Z$1,FALSE)),"dk",IF(ISERROR(VLOOKUP($A11,deadlines!$B$2:$H$52,Z$1,FALSE)+1),"","Y"))</f>
        <v/>
      </c>
      <c r="AA11" s="75" t="str">
        <f>IF(ISERROR(VLOOKUP($A11,deadlines!$B$2:$H$52,AA$1,FALSE)),"dk",IF(ISERROR(VLOOKUP($A11,deadlines!$B$2:$H$52,AA$1,FALSE)+1),"","Y"))</f>
        <v/>
      </c>
      <c r="AB11" s="95">
        <f>IF(ISERROR(VLOOKUP($A11,deadlines!$B$2:$H$52,AB$1,FALSE)),"",VLOOKUP($A11,deadlines!$B$2:$H$52,AB$1,FALSE))</f>
        <v>0.17</v>
      </c>
      <c r="AC11" s="28"/>
      <c r="AD11" s="30"/>
      <c r="AE11" s="29"/>
      <c r="AF11" s="102">
        <v>182670</v>
      </c>
      <c r="AG11" s="29">
        <v>23</v>
      </c>
    </row>
    <row r="12" spans="1:38" x14ac:dyDescent="0.35">
      <c r="A12" s="29" t="str">
        <f>VLOOKUP($AF12,raw!$A$1:$CA$193,61,FALSE)</f>
        <v>University of Pennsylvania</v>
      </c>
      <c r="B12" s="136"/>
      <c r="C12" s="136"/>
      <c r="D12" s="137"/>
      <c r="E12" s="137"/>
      <c r="F12" s="29" t="str">
        <f>VLOOKUP($AF12,raw!$A$1:$CA$193,F$2,FALSE)</f>
        <v>Philadelphia</v>
      </c>
      <c r="G12" s="30" t="str">
        <f>VLOOKUP($AF12,raw!$A$1:$CA$193,G$2,FALSE)</f>
        <v>PA</v>
      </c>
      <c r="H12" s="34" t="str">
        <f>VLOOKUP($AF12,raw!$A$1:$CA$193,H$2,FALSE)</f>
        <v>City: Large</v>
      </c>
      <c r="I12" s="57" t="str">
        <f>CONCATENATE(VLOOKUP($AF12,raw!$A$1:$BZ$193,I$2,FALSE)," - ",VLOOKUP($AF12,raw!$A$1:$BZ$193,I$2+2,FALSE))</f>
        <v>730 - 770</v>
      </c>
      <c r="J12" s="58" t="str">
        <f>CONCATENATE(VLOOKUP($AF12,raw!$A$1:$BZ$193,J$2,FALSE)," - ",VLOOKUP($AF12,raw!$A$1:$BZ$193,J$2+2,FALSE))</f>
        <v>770 - 800</v>
      </c>
      <c r="K12" s="53">
        <f>VLOOKUP($AF12,raw!$A$1:$BZ$193,K$2,FALSE)</f>
        <v>59465</v>
      </c>
      <c r="L12" s="50">
        <f>VLOOKUP($AF12,raw!$A$1:$BZ$193,L$2,FALSE)</f>
        <v>3489</v>
      </c>
      <c r="M12" s="65">
        <f>VLOOKUP($AF12,raw!$A$1:$BZ$193,M$2,FALSE)/100</f>
        <v>0.06</v>
      </c>
      <c r="N12" s="62">
        <f>VLOOKUP($AF12,raw!$A$1:$BZ$193,N$2,FALSE)/K12</f>
        <v>0.45620112671319263</v>
      </c>
      <c r="O12" s="77">
        <f>IF(N12&gt;0,(VLOOKUP($AF12,raw!$A$1:$BZ$193,O$2,FALSE)/(L12*N12)-0),1)</f>
        <v>1.006480091324641</v>
      </c>
      <c r="P12" s="36">
        <f>VLOOKUP($AF12,raw!$A$1:$BZ$193,P$2,FALSE)/K12</f>
        <v>0.54379887328680732</v>
      </c>
      <c r="Q12" s="77">
        <f>IF(P12&gt;0,(VLOOKUP($AF12,raw!$A$1:$BZ$193,Q$2,FALSE)/(L12*P12)-0),1)</f>
        <v>0.99456375305517353</v>
      </c>
      <c r="R12" s="50">
        <f>VLOOKUP($AF12,raw!$A$1:$BZ$193,R$2,FALSE)</f>
        <v>2416</v>
      </c>
      <c r="S12" s="40" t="str">
        <f t="shared" si="0"/>
        <v>l</v>
      </c>
      <c r="T12" s="34"/>
      <c r="U12" s="30"/>
      <c r="V12" s="110" t="s">
        <v>445</v>
      </c>
      <c r="W12" s="102">
        <v>1</v>
      </c>
      <c r="X12" s="105"/>
      <c r="Y12" s="75" t="str">
        <f>IF(ISERROR(VLOOKUP($A12,deadlines!$B$2:$H$52,Y$1,FALSE)),"dk",IF(ISERROR(VLOOKUP($A12,deadlines!$B$2:$H$52,Y$1,FALSE)+1),"","Y"))</f>
        <v>Y</v>
      </c>
      <c r="Z12" s="75" t="str">
        <f>IF(ISERROR(VLOOKUP($A12,deadlines!$B$2:$H$52,Z$1,FALSE)),"dk",IF(ISERROR(VLOOKUP($A12,deadlines!$B$2:$H$52,Z$1,FALSE)+1),"","Y"))</f>
        <v/>
      </c>
      <c r="AA12" s="75" t="str">
        <f>IF(ISERROR(VLOOKUP($A12,deadlines!$B$2:$H$52,AA$1,FALSE)),"dk",IF(ISERROR(VLOOKUP($A12,deadlines!$B$2:$H$52,AA$1,FALSE)+1),"","Y"))</f>
        <v/>
      </c>
      <c r="AB12" s="95">
        <f>IF(ISERROR(VLOOKUP($A12,deadlines!$B$2:$H$52,AB$1,FALSE)),"",VLOOKUP($A12,deadlines!$B$2:$H$52,AB$1,FALSE))</f>
        <v>0.15</v>
      </c>
      <c r="AC12" s="28"/>
      <c r="AD12" s="30"/>
      <c r="AE12" s="29"/>
      <c r="AF12" s="102">
        <v>215062</v>
      </c>
      <c r="AG12" s="29">
        <v>74</v>
      </c>
    </row>
    <row r="13" spans="1:38" x14ac:dyDescent="0.35">
      <c r="A13" s="29" t="str">
        <f>VLOOKUP($AF13,raw!$A$1:$CA$193,61,FALSE)</f>
        <v>Princeton University</v>
      </c>
      <c r="B13" s="136"/>
      <c r="C13" s="136"/>
      <c r="D13" s="137"/>
      <c r="E13" s="137"/>
      <c r="F13" s="29" t="str">
        <f>VLOOKUP($AF13,raw!$A$1:$CA$193,F$2,FALSE)</f>
        <v>Princeton</v>
      </c>
      <c r="G13" s="30" t="str">
        <f>VLOOKUP($AF13,raw!$A$1:$CA$193,G$2,FALSE)</f>
        <v>NJ</v>
      </c>
      <c r="H13" s="34" t="str">
        <f>VLOOKUP($AF13,raw!$A$1:$CA$193,H$2,FALSE)</f>
        <v>City: Small</v>
      </c>
      <c r="I13" s="57" t="str">
        <f>CONCATENATE(VLOOKUP($AF13,raw!$A$1:$BZ$193,I$2,FALSE)," - ",VLOOKUP($AF13,raw!$A$1:$BZ$193,I$2+2,FALSE))</f>
        <v>740 - 780</v>
      </c>
      <c r="J13" s="58" t="str">
        <f>CONCATENATE(VLOOKUP($AF13,raw!$A$1:$BZ$193,J$2,FALSE)," - ",VLOOKUP($AF13,raw!$A$1:$BZ$193,J$2+2,FALSE))</f>
        <v>760 - 800</v>
      </c>
      <c r="K13" s="53">
        <f>VLOOKUP($AF13,raw!$A$1:$BZ$193,K$2,FALSE)</f>
        <v>39644</v>
      </c>
      <c r="L13" s="50">
        <f>VLOOKUP($AF13,raw!$A$1:$BZ$193,L$2,FALSE)</f>
        <v>1782</v>
      </c>
      <c r="M13" s="65">
        <f>VLOOKUP($AF13,raw!$A$1:$BZ$193,M$2,FALSE)/100</f>
        <v>0.04</v>
      </c>
      <c r="N13" s="62">
        <f>VLOOKUP($AF13,raw!$A$1:$BZ$193,N$2,FALSE)/K13</f>
        <v>0.49291191605287055</v>
      </c>
      <c r="O13" s="77">
        <f>IF(N13&gt;0,(VLOOKUP($AF13,raw!$A$1:$BZ$193,O$2,FALSE)/(L13*N13)-0),1)</f>
        <v>0.99047207485874911</v>
      </c>
      <c r="P13" s="36">
        <f>VLOOKUP($AF13,raw!$A$1:$BZ$193,P$2,FALSE)/K13</f>
        <v>0.50708808394712945</v>
      </c>
      <c r="Q13" s="77">
        <f>IF(P13&gt;0,(VLOOKUP($AF13,raw!$A$1:$BZ$193,Q$2,FALSE)/(L13*P13)-0),1)</f>
        <v>1.0092615622138579</v>
      </c>
      <c r="R13" s="50">
        <f>VLOOKUP($AF13,raw!$A$1:$BZ$193,R$2,FALSE)</f>
        <v>1366</v>
      </c>
      <c r="S13" s="40" t="str">
        <f t="shared" si="0"/>
        <v>m</v>
      </c>
      <c r="T13" s="34"/>
      <c r="U13" s="30"/>
      <c r="V13" s="110"/>
      <c r="W13" s="102"/>
      <c r="X13" s="105"/>
      <c r="Y13" s="29" t="str">
        <f>IF(ISERROR(VLOOKUP($A13,deadlines!$B$2:$H$52,Y$1,FALSE)),"dk",IF(ISERROR(VLOOKUP($A13,deadlines!$B$2:$H$52,Y$1,FALSE)+1),"","Y"))</f>
        <v>dk</v>
      </c>
      <c r="Z13" s="29" t="str">
        <f>IF(ISERROR(VLOOKUP($A13,deadlines!$B$2:$H$52,Z$1,FALSE)),"dk",IF(ISERROR(VLOOKUP($A13,deadlines!$B$2:$H$52,Z$1,FALSE)+1),"","Y"))</f>
        <v>dk</v>
      </c>
      <c r="AA13" s="29" t="str">
        <f>IF(ISERROR(VLOOKUP($A13,deadlines!$B$2:$H$52,AA$1,FALSE)),"dk",IF(ISERROR(VLOOKUP($A13,deadlines!$B$2:$H$52,AA$1,FALSE)+1),"","Y"))</f>
        <v>dk</v>
      </c>
      <c r="AB13" s="36" t="str">
        <f>IF(ISERROR(VLOOKUP($A13,deadlines!$B$2:$H$52,AB$1,FALSE)),"",VLOOKUP($A13,deadlines!$B$2:$H$52,AB$1,FALSE))</f>
        <v/>
      </c>
      <c r="AC13" s="28"/>
      <c r="AD13" s="30"/>
      <c r="AE13" s="29"/>
      <c r="AF13" s="102">
        <v>186131</v>
      </c>
      <c r="AG13" s="29">
        <v>50</v>
      </c>
    </row>
    <row r="14" spans="1:38" x14ac:dyDescent="0.35">
      <c r="A14" s="29" t="str">
        <f>VLOOKUP($AF14,raw!$A$1:$CA$193,61,FALSE)</f>
        <v>Duke University</v>
      </c>
      <c r="B14" s="136"/>
      <c r="C14" s="136"/>
      <c r="D14" s="137"/>
      <c r="E14" s="137"/>
      <c r="F14" s="29" t="str">
        <f>VLOOKUP($AF14,raw!$A$1:$CA$193,F$2,FALSE)</f>
        <v>Durham</v>
      </c>
      <c r="G14" s="30" t="str">
        <f>VLOOKUP($AF14,raw!$A$1:$CA$193,G$2,FALSE)</f>
        <v>NC</v>
      </c>
      <c r="H14" s="34" t="str">
        <f>VLOOKUP($AF14,raw!$A$1:$CA$193,H$2,FALSE)</f>
        <v>City: Large</v>
      </c>
      <c r="I14" s="57" t="str">
        <f>CONCATENATE(VLOOKUP($AF14,raw!$A$1:$BZ$193,I$2,FALSE)," - ",VLOOKUP($AF14,raw!$A$1:$BZ$193,I$2+2,FALSE))</f>
        <v>740 - 770</v>
      </c>
      <c r="J14" s="58" t="str">
        <f>CONCATENATE(VLOOKUP($AF14,raw!$A$1:$BZ$193,J$2,FALSE)," - ",VLOOKUP($AF14,raw!$A$1:$BZ$193,J$2+2,FALSE))</f>
        <v>770 - 800</v>
      </c>
      <c r="K14" s="53">
        <f>VLOOKUP($AF14,raw!$A$1:$BZ$193,K$2,FALSE)</f>
        <v>46365</v>
      </c>
      <c r="L14" s="50">
        <f>VLOOKUP($AF14,raw!$A$1:$BZ$193,L$2,FALSE)</f>
        <v>3145</v>
      </c>
      <c r="M14" s="65">
        <f>VLOOKUP($AF14,raw!$A$1:$BZ$193,M$2,FALSE)/100</f>
        <v>7.0000000000000007E-2</v>
      </c>
      <c r="N14" s="62">
        <f>VLOOKUP($AF14,raw!$A$1:$BZ$193,N$2,FALSE)/K14</f>
        <v>0.46479025126711959</v>
      </c>
      <c r="O14" s="77">
        <f>IF(N14&gt;0,(VLOOKUP($AF14,raw!$A$1:$BZ$193,O$2,FALSE)/(L14*N14)-0),1)</f>
        <v>1.00084463609235</v>
      </c>
      <c r="P14" s="36">
        <f>VLOOKUP($AF14,raw!$A$1:$BZ$193,P$2,FALSE)/K14</f>
        <v>0.53520974873288041</v>
      </c>
      <c r="Q14" s="77">
        <f>IF(P14&gt;0,(VLOOKUP($AF14,raw!$A$1:$BZ$193,Q$2,FALSE)/(L14*P14)-0),1)</f>
        <v>0.999266495756996</v>
      </c>
      <c r="R14" s="50">
        <f>VLOOKUP($AF14,raw!$A$1:$BZ$193,R$2,FALSE)</f>
        <v>1742</v>
      </c>
      <c r="S14" s="40" t="str">
        <f t="shared" si="0"/>
        <v>m</v>
      </c>
      <c r="T14" s="34"/>
      <c r="U14" s="30"/>
      <c r="V14" s="110" t="s">
        <v>445</v>
      </c>
      <c r="W14" s="102">
        <v>1</v>
      </c>
      <c r="X14" s="105"/>
      <c r="Y14" s="75" t="str">
        <f>IF(ISERROR(VLOOKUP($A14,deadlines!$B$2:$H$52,Y$1,FALSE)),"dk",IF(ISERROR(VLOOKUP($A14,deadlines!$B$2:$H$52,Y$1,FALSE)+1),"","Y"))</f>
        <v>Y</v>
      </c>
      <c r="Z14" s="75" t="str">
        <f>IF(ISERROR(VLOOKUP($A14,deadlines!$B$2:$H$52,Z$1,FALSE)),"dk",IF(ISERROR(VLOOKUP($A14,deadlines!$B$2:$H$52,Z$1,FALSE)+1),"","Y"))</f>
        <v/>
      </c>
      <c r="AA14" s="75" t="str">
        <f>IF(ISERROR(VLOOKUP($A14,deadlines!$B$2:$H$52,AA$1,FALSE)),"dk",IF(ISERROR(VLOOKUP($A14,deadlines!$B$2:$H$52,AA$1,FALSE)+1),"","Y"))</f>
        <v/>
      </c>
      <c r="AB14" s="95">
        <f>IF(ISERROR(VLOOKUP($A14,deadlines!$B$2:$H$52,AB$1,FALSE)),"",VLOOKUP($A14,deadlines!$B$2:$H$52,AB$1,FALSE))</f>
        <v>0.13</v>
      </c>
      <c r="AC14" s="28"/>
      <c r="AD14" s="30"/>
      <c r="AE14" s="29"/>
      <c r="AF14" s="102">
        <v>198419</v>
      </c>
      <c r="AG14" s="29">
        <v>27</v>
      </c>
    </row>
    <row r="15" spans="1:38" x14ac:dyDescent="0.35">
      <c r="A15" s="29" t="str">
        <f>VLOOKUP($AF15,raw!$A$1:$CA$193,61,FALSE)</f>
        <v>Northwestern University</v>
      </c>
      <c r="B15" s="136"/>
      <c r="C15" s="136"/>
      <c r="D15" s="137"/>
      <c r="E15" s="137"/>
      <c r="F15" s="29" t="str">
        <f>VLOOKUP($AF15,raw!$A$1:$CA$193,F$2,FALSE)</f>
        <v>Evanston</v>
      </c>
      <c r="G15" s="30" t="str">
        <f>VLOOKUP($AF15,raw!$A$1:$CA$193,G$2,FALSE)</f>
        <v>IL</v>
      </c>
      <c r="H15" s="34" t="str">
        <f>VLOOKUP($AF15,raw!$A$1:$CA$193,H$2,FALSE)</f>
        <v>City: Small</v>
      </c>
      <c r="I15" s="57" t="str">
        <f>CONCATENATE(VLOOKUP($AF15,raw!$A$1:$BZ$193,I$2,FALSE)," - ",VLOOKUP($AF15,raw!$A$1:$BZ$193,I$2+2,FALSE))</f>
        <v>730 - 770</v>
      </c>
      <c r="J15" s="58" t="str">
        <f>CONCATENATE(VLOOKUP($AF15,raw!$A$1:$BZ$193,J$2,FALSE)," - ",VLOOKUP($AF15,raw!$A$1:$BZ$193,J$2+2,FALSE))</f>
        <v>760 - 790</v>
      </c>
      <c r="K15" s="53">
        <f>VLOOKUP($AF15,raw!$A$1:$BZ$193,K$2,FALSE)</f>
        <v>51769</v>
      </c>
      <c r="L15" s="50">
        <f>VLOOKUP($AF15,raw!$A$1:$BZ$193,L$2,FALSE)</f>
        <v>3703</v>
      </c>
      <c r="M15" s="65">
        <f>VLOOKUP($AF15,raw!$A$1:$BZ$193,M$2,FALSE)/100</f>
        <v>7.0000000000000007E-2</v>
      </c>
      <c r="N15" s="62">
        <f>VLOOKUP($AF15,raw!$A$1:$BZ$193,N$2,FALSE)/K15</f>
        <v>0.47346867816647026</v>
      </c>
      <c r="O15" s="77">
        <f>IF(N15&gt;0,(VLOOKUP($AF15,raw!$A$1:$BZ$193,O$2,FALSE)/(L15*N15)-0),1)</f>
        <v>0.97247717611407569</v>
      </c>
      <c r="P15" s="36">
        <f>VLOOKUP($AF15,raw!$A$1:$BZ$193,P$2,FALSE)/K15</f>
        <v>0.52653132183352969</v>
      </c>
      <c r="Q15" s="77">
        <f>IF(P15&gt;0,(VLOOKUP($AF15,raw!$A$1:$BZ$193,Q$2,FALSE)/(L15*P15)-0),1)</f>
        <v>1.0247491355296754</v>
      </c>
      <c r="R15" s="50">
        <f>VLOOKUP($AF15,raw!$A$1:$BZ$193,R$2,FALSE)</f>
        <v>2111</v>
      </c>
      <c r="S15" s="40" t="str">
        <f t="shared" si="0"/>
        <v>l</v>
      </c>
      <c r="T15" s="28"/>
      <c r="U15" s="34"/>
      <c r="V15" s="110" t="s">
        <v>445</v>
      </c>
      <c r="W15" s="102">
        <v>1</v>
      </c>
      <c r="X15" s="105">
        <v>1</v>
      </c>
      <c r="Y15" s="75" t="str">
        <f>IF(ISERROR(VLOOKUP($A15,deadlines!$B$2:$H$52,Y$1,FALSE)),"dk",IF(ISERROR(VLOOKUP($A15,deadlines!$B$2:$H$52,Y$1,FALSE)+1),"","Y"))</f>
        <v>Y</v>
      </c>
      <c r="Z15" s="75" t="str">
        <f>IF(ISERROR(VLOOKUP($A15,deadlines!$B$2:$H$52,Z$1,FALSE)),"dk",IF(ISERROR(VLOOKUP($A15,deadlines!$B$2:$H$52,Z$1,FALSE)+1),"","Y"))</f>
        <v/>
      </c>
      <c r="AA15" s="75" t="str">
        <f>IF(ISERROR(VLOOKUP($A15,deadlines!$B$2:$H$52,AA$1,FALSE)),"dk",IF(ISERROR(VLOOKUP($A15,deadlines!$B$2:$H$52,AA$1,FALSE)+1),"","Y"))</f>
        <v/>
      </c>
      <c r="AB15" s="95">
        <f>IF(ISERROR(VLOOKUP($A15,deadlines!$B$2:$H$52,AB$1,FALSE)),"",VLOOKUP($A15,deadlines!$B$2:$H$52,AB$1,FALSE))</f>
        <v>0.23</v>
      </c>
      <c r="AC15" s="28"/>
      <c r="AD15" s="30"/>
      <c r="AE15" s="29"/>
      <c r="AF15" s="102">
        <v>147767</v>
      </c>
      <c r="AG15" s="29">
        <v>45</v>
      </c>
    </row>
    <row r="16" spans="1:38" x14ac:dyDescent="0.35">
      <c r="A16" s="29" t="str">
        <f>VLOOKUP($AF16,raw!$A$1:$CA$193,61,FALSE)</f>
        <v>Swarthmore College</v>
      </c>
      <c r="B16" s="136"/>
      <c r="C16" s="136"/>
      <c r="D16" s="137"/>
      <c r="E16" s="137"/>
      <c r="F16" s="29" t="str">
        <f>VLOOKUP($AF16,raw!$A$1:$CA$193,F$2,FALSE)</f>
        <v>Swarthmore</v>
      </c>
      <c r="G16" s="30" t="str">
        <f>VLOOKUP($AF16,raw!$A$1:$CA$193,G$2,FALSE)</f>
        <v>PA</v>
      </c>
      <c r="H16" s="34" t="str">
        <f>VLOOKUP($AF16,raw!$A$1:$CA$193,H$2,FALSE)</f>
        <v>Suburb: Large</v>
      </c>
      <c r="I16" s="57" t="str">
        <f>CONCATENATE(VLOOKUP($AF16,raw!$A$1:$BZ$193,I$2,FALSE)," - ",VLOOKUP($AF16,raw!$A$1:$BZ$193,I$2+2,FALSE))</f>
        <v>720 - 770</v>
      </c>
      <c r="J16" s="58" t="str">
        <f>CONCATENATE(VLOOKUP($AF16,raw!$A$1:$BZ$193,J$2,FALSE)," - ",VLOOKUP($AF16,raw!$A$1:$BZ$193,J$2+2,FALSE))</f>
        <v>740 - 790</v>
      </c>
      <c r="K16" s="53">
        <f>VLOOKUP($AF16,raw!$A$1:$BZ$193,K$2,FALSE)</f>
        <v>14287</v>
      </c>
      <c r="L16" s="50">
        <f>VLOOKUP($AF16,raw!$A$1:$BZ$193,L$2,FALSE)</f>
        <v>992</v>
      </c>
      <c r="M16" s="65">
        <f>VLOOKUP($AF16,raw!$A$1:$BZ$193,M$2,FALSE)/100</f>
        <v>7.0000000000000007E-2</v>
      </c>
      <c r="N16" s="62">
        <f>VLOOKUP($AF16,raw!$A$1:$BZ$193,N$2,FALSE)/K16</f>
        <v>0.4193322600965913</v>
      </c>
      <c r="O16" s="77">
        <f>IF(N16&gt;0,(VLOOKUP($AF16,raw!$A$1:$BZ$193,O$2,FALSE)/(L16*N16)-0),1)</f>
        <v>1.1779480376478697</v>
      </c>
      <c r="P16" s="36">
        <f>VLOOKUP($AF16,raw!$A$1:$BZ$193,P$2,FALSE)/K16</f>
        <v>0.5806677399034087</v>
      </c>
      <c r="Q16" s="77">
        <f>IF(P16&gt;0,(VLOOKUP($AF16,raw!$A$1:$BZ$193,Q$2,FALSE)/(L16*P16)-0),1)</f>
        <v>0.87149388939869965</v>
      </c>
      <c r="R16" s="50">
        <f>VLOOKUP($AF16,raw!$A$1:$BZ$193,R$2,FALSE)</f>
        <v>415</v>
      </c>
      <c r="S16" s="40" t="str">
        <f t="shared" si="0"/>
        <v>s</v>
      </c>
      <c r="T16" s="28"/>
      <c r="U16" s="34"/>
      <c r="V16" s="110" t="s">
        <v>445</v>
      </c>
      <c r="W16" s="102">
        <v>1</v>
      </c>
      <c r="X16" s="105"/>
      <c r="Y16" s="29" t="str">
        <f>IF(ISERROR(VLOOKUP($A16,deadlines!$B$2:$H$52,Y$1,FALSE)),"dk",IF(ISERROR(VLOOKUP($A16,deadlines!$B$2:$H$52,Y$1,FALSE)+1),"","Y"))</f>
        <v>dk</v>
      </c>
      <c r="Z16" s="29" t="str">
        <f>IF(ISERROR(VLOOKUP($A16,deadlines!$B$2:$H$52,Z$1,FALSE)),"dk",IF(ISERROR(VLOOKUP($A16,deadlines!$B$2:$H$52,Z$1,FALSE)+1),"","Y"))</f>
        <v>dk</v>
      </c>
      <c r="AA16" s="29" t="str">
        <f>IF(ISERROR(VLOOKUP($A16,deadlines!$B$2:$H$52,AA$1,FALSE)),"dk",IF(ISERROR(VLOOKUP($A16,deadlines!$B$2:$H$52,AA$1,FALSE)+1),"","Y"))</f>
        <v>dk</v>
      </c>
      <c r="AB16" s="95" t="str">
        <f>IF(ISERROR(VLOOKUP($A16,deadlines!$B$2:$H$52,AB$1,FALSE)),"",VLOOKUP($A16,deadlines!$B$2:$H$52,AB$1,FALSE))</f>
        <v/>
      </c>
      <c r="AC16" s="28"/>
      <c r="AD16" s="30"/>
      <c r="AE16" s="29"/>
      <c r="AF16" s="102">
        <v>216287</v>
      </c>
      <c r="AG16" s="29">
        <v>59</v>
      </c>
    </row>
    <row r="17" spans="1:33" x14ac:dyDescent="0.35">
      <c r="A17" s="29" t="str">
        <f>VLOOKUP($AF17,raw!$A$1:$CA$193,61,FALSE)</f>
        <v>Cornell University</v>
      </c>
      <c r="B17" s="136"/>
      <c r="C17" s="136"/>
      <c r="D17" s="137"/>
      <c r="E17" s="137"/>
      <c r="F17" s="29" t="str">
        <f>VLOOKUP($AF17,raw!$A$1:$CA$193,F$2,FALSE)</f>
        <v>Ithaca</v>
      </c>
      <c r="G17" s="30" t="str">
        <f>VLOOKUP($AF17,raw!$A$1:$CA$193,G$2,FALSE)</f>
        <v>NY</v>
      </c>
      <c r="H17" s="34" t="str">
        <f>VLOOKUP($AF17,raw!$A$1:$CA$193,H$2,FALSE)</f>
        <v>City: Small</v>
      </c>
      <c r="I17" s="57" t="str">
        <f>CONCATENATE(VLOOKUP($AF17,raw!$A$1:$BZ$193,I$2,FALSE)," - ",VLOOKUP($AF17,raw!$A$1:$BZ$193,I$2+2,FALSE))</f>
        <v>720 - 770</v>
      </c>
      <c r="J17" s="58" t="str">
        <f>CONCATENATE(VLOOKUP($AF17,raw!$A$1:$BZ$193,J$2,FALSE)," - ",VLOOKUP($AF17,raw!$A$1:$BZ$193,J$2+2,FALSE))</f>
        <v>760 - 790</v>
      </c>
      <c r="K17" s="53">
        <f>VLOOKUP($AF17,raw!$A$1:$BZ$193,K$2,FALSE)</f>
        <v>65635</v>
      </c>
      <c r="L17" s="50">
        <f>VLOOKUP($AF17,raw!$A$1:$BZ$193,L$2,FALSE)</f>
        <v>5358</v>
      </c>
      <c r="M17" s="65">
        <f>VLOOKUP($AF17,raw!$A$1:$BZ$193,M$2,FALSE)/100</f>
        <v>0.08</v>
      </c>
      <c r="N17" s="62">
        <f>VLOOKUP($AF17,raw!$A$1:$BZ$193,N$2,FALSE)/K17</f>
        <v>0.49848404052715778</v>
      </c>
      <c r="O17" s="79">
        <f>IF(N17&gt;0,(VLOOKUP($AF17,raw!$A$1:$BZ$193,O$2,FALSE)/(L17*N17)-0),1)</f>
        <v>0.92067120637106559</v>
      </c>
      <c r="P17" s="80">
        <f>VLOOKUP($AF17,raw!$A$1:$BZ$193,P$2,FALSE)/K17</f>
        <v>0.50151595947284222</v>
      </c>
      <c r="Q17" s="79">
        <f>IF(P17&gt;0,(VLOOKUP($AF17,raw!$A$1:$BZ$193,Q$2,FALSE)/(L17*P17)-0),1)</f>
        <v>1.0788492107406955</v>
      </c>
      <c r="R17" s="50">
        <f>VLOOKUP($AF17,raw!$A$1:$BZ$193,R$2,FALSE)</f>
        <v>3537</v>
      </c>
      <c r="S17" s="40" t="str">
        <f t="shared" si="0"/>
        <v>l</v>
      </c>
      <c r="T17" s="67"/>
      <c r="U17" s="30"/>
      <c r="V17" s="110" t="s">
        <v>445</v>
      </c>
      <c r="W17" s="102">
        <v>1</v>
      </c>
      <c r="X17" s="105">
        <v>1</v>
      </c>
      <c r="Y17" s="75" t="str">
        <f>IF(ISERROR(VLOOKUP($A17,deadlines!$B$2:$H$52,Y$1,FALSE)),"dk",IF(ISERROR(VLOOKUP($A17,deadlines!$B$2:$H$52,Y$1,FALSE)+1),"","Y"))</f>
        <v>Y</v>
      </c>
      <c r="Z17" s="75" t="str">
        <f>IF(ISERROR(VLOOKUP($A17,deadlines!$B$2:$H$52,Z$1,FALSE)),"dk",IF(ISERROR(VLOOKUP($A17,deadlines!$B$2:$H$52,Z$1,FALSE)+1),"","Y"))</f>
        <v/>
      </c>
      <c r="AA17" s="75" t="str">
        <f>IF(ISERROR(VLOOKUP($A17,deadlines!$B$2:$H$52,AA$1,FALSE)),"dk",IF(ISERROR(VLOOKUP($A17,deadlines!$B$2:$H$52,AA$1,FALSE)+1),"","Y"))</f>
        <v/>
      </c>
      <c r="AB17" s="36">
        <f>IF(ISERROR(VLOOKUP($A17,deadlines!$B$2:$H$52,AB$1,FALSE)),"",VLOOKUP($A17,deadlines!$B$2:$H$52,AB$1,FALSE))</f>
        <v>0.18</v>
      </c>
      <c r="AC17" s="28"/>
      <c r="AD17" s="30"/>
      <c r="AE17" s="74"/>
      <c r="AF17" s="103">
        <v>190415</v>
      </c>
      <c r="AG17" s="32">
        <v>22</v>
      </c>
    </row>
    <row r="18" spans="1:33" x14ac:dyDescent="0.35">
      <c r="A18" s="29" t="str">
        <f>VLOOKUP($AF18,raw!$A$1:$CA$193,61,FALSE)</f>
        <v>Rice University</v>
      </c>
      <c r="B18" s="136"/>
      <c r="C18" s="136"/>
      <c r="D18" s="137"/>
      <c r="E18" s="137"/>
      <c r="F18" s="73" t="str">
        <f>VLOOKUP($AF18,raw!$A$1:$CA$193,F$2,FALSE)</f>
        <v>Houston</v>
      </c>
      <c r="G18" s="45" t="str">
        <f>VLOOKUP($AF18,raw!$A$1:$CA$193,G$2,FALSE)</f>
        <v>TX</v>
      </c>
      <c r="H18" s="43" t="str">
        <f>VLOOKUP($AF18,raw!$A$1:$CA$193,H$2,FALSE)</f>
        <v>City: Large</v>
      </c>
      <c r="I18" s="59" t="str">
        <f>CONCATENATE(VLOOKUP($AF18,raw!$A$1:$BZ$193,I$2,FALSE)," - ",VLOOKUP($AF18,raw!$A$1:$BZ$193,I$2+2,FALSE))</f>
        <v>730 - 770</v>
      </c>
      <c r="J18" s="60" t="str">
        <f>CONCATENATE(VLOOKUP($AF18,raw!$A$1:$BZ$193,J$2,FALSE)," - ",VLOOKUP($AF18,raw!$A$1:$BZ$193,J$2+2,FALSE))</f>
        <v>770 - 800</v>
      </c>
      <c r="K18" s="54">
        <f>VLOOKUP($AF18,raw!$A$1:$BZ$193,K$2,FALSE)</f>
        <v>31059</v>
      </c>
      <c r="L18" s="51">
        <f>VLOOKUP($AF18,raw!$A$1:$BZ$193,L$2,FALSE)</f>
        <v>2447</v>
      </c>
      <c r="M18" s="66">
        <f>VLOOKUP($AF18,raw!$A$1:$BZ$193,M$2,FALSE)/100</f>
        <v>0.08</v>
      </c>
      <c r="N18" s="63">
        <f>VLOOKUP($AF18,raw!$A$1:$BZ$193,N$2,FALSE)/K18</f>
        <v>0.51456904600920828</v>
      </c>
      <c r="O18" s="77">
        <f>IF(N18&gt;0,(VLOOKUP($AF18,raw!$A$1:$BZ$193,O$2,FALSE)/(L18*N18)-0),1)</f>
        <v>0.97923166729714373</v>
      </c>
      <c r="P18" s="36">
        <f>VLOOKUP($AF18,raw!$A$1:$BZ$193,P$2,FALSE)/K18</f>
        <v>0.48543095399079172</v>
      </c>
      <c r="Q18" s="77">
        <f>IF(P18&gt;0,(VLOOKUP($AF18,raw!$A$1:$BZ$193,Q$2,FALSE)/(L18*P18)-0),1)</f>
        <v>1.0220149561091099</v>
      </c>
      <c r="R18" s="51">
        <f>VLOOKUP($AF18,raw!$A$1:$BZ$193,R$2,FALSE)</f>
        <v>1125</v>
      </c>
      <c r="S18" s="48" t="str">
        <f t="shared" si="0"/>
        <v>m</v>
      </c>
      <c r="T18" s="44"/>
      <c r="U18" s="43"/>
      <c r="V18" s="110" t="s">
        <v>445</v>
      </c>
      <c r="W18" s="107">
        <v>1</v>
      </c>
      <c r="X18" s="104"/>
      <c r="Y18" s="73" t="str">
        <f>IF(ISERROR(VLOOKUP($A18,deadlines!$B$2:$H$52,Y$1,FALSE)),"dk",IF(ISERROR(VLOOKUP($A18,deadlines!$B$2:$H$52,Y$1,FALSE)+1),"","Y"))</f>
        <v>dk</v>
      </c>
      <c r="Z18" s="73" t="str">
        <f>IF(ISERROR(VLOOKUP($A18,deadlines!$B$2:$H$52,Z$1,FALSE)),"dk",IF(ISERROR(VLOOKUP($A18,deadlines!$B$2:$H$52,Z$1,FALSE)+1),"","Y"))</f>
        <v>dk</v>
      </c>
      <c r="AA18" s="73" t="str">
        <f>IF(ISERROR(VLOOKUP($A18,deadlines!$B$2:$H$52,AA$1,FALSE)),"dk",IF(ISERROR(VLOOKUP($A18,deadlines!$B$2:$H$52,AA$1,FALSE)+1),"","Y"))</f>
        <v>dk</v>
      </c>
      <c r="AB18" s="96" t="str">
        <f>IF(ISERROR(VLOOKUP($A18,deadlines!$B$2:$H$52,AB$1,FALSE)),"",VLOOKUP($A18,deadlines!$B$2:$H$52,AB$1,FALSE))</f>
        <v/>
      </c>
      <c r="AC18" s="44"/>
      <c r="AD18" s="45"/>
      <c r="AE18" s="73"/>
      <c r="AF18" s="102">
        <v>227757</v>
      </c>
      <c r="AG18" s="29">
        <v>52</v>
      </c>
    </row>
    <row r="19" spans="1:33" x14ac:dyDescent="0.35">
      <c r="A19" s="29" t="str">
        <f>VLOOKUP($AF19,raw!$A$1:$CA$193,61,FALSE)</f>
        <v>Pomona College</v>
      </c>
      <c r="B19" s="136"/>
      <c r="C19" s="136"/>
      <c r="D19" s="137"/>
      <c r="E19" s="137"/>
      <c r="F19" s="29" t="str">
        <f>VLOOKUP($AF19,raw!$A$1:$CA$193,F$2,FALSE)</f>
        <v>Claremont</v>
      </c>
      <c r="G19" s="30" t="str">
        <f>VLOOKUP($AF19,raw!$A$1:$CA$193,G$2,FALSE)</f>
        <v>CA</v>
      </c>
      <c r="H19" s="34" t="str">
        <f>VLOOKUP($AF19,raw!$A$1:$CA$193,H$2,FALSE)</f>
        <v>Suburb: Large</v>
      </c>
      <c r="I19" s="57" t="str">
        <f>CONCATENATE(VLOOKUP($AF19,raw!$A$1:$BZ$193,I$2,FALSE)," - ",VLOOKUP($AF19,raw!$A$1:$BZ$193,I$2+2,FALSE))</f>
        <v>730 - 770</v>
      </c>
      <c r="J19" s="58" t="str">
        <f>CONCATENATE(VLOOKUP($AF19,raw!$A$1:$BZ$193,J$2,FALSE)," - ",VLOOKUP($AF19,raw!$A$1:$BZ$193,J$2+2,FALSE))</f>
        <v>750 - 790</v>
      </c>
      <c r="K19" s="53">
        <f>VLOOKUP($AF19,raw!$A$1:$BZ$193,K$2,FALSE)</f>
        <v>12121</v>
      </c>
      <c r="L19" s="50">
        <f>VLOOKUP($AF19,raw!$A$1:$BZ$193,L$2,FALSE)</f>
        <v>819</v>
      </c>
      <c r="M19" s="65">
        <f>VLOOKUP($AF19,raw!$A$1:$BZ$193,M$2,FALSE)/100</f>
        <v>7.0000000000000007E-2</v>
      </c>
      <c r="N19" s="62">
        <f>VLOOKUP($AF19,raw!$A$1:$BZ$193,N$2,FALSE)/K19</f>
        <v>0.41126969721970136</v>
      </c>
      <c r="O19" s="77">
        <f>IF(N19&gt;0,(VLOOKUP($AF19,raw!$A$1:$BZ$193,O$2,FALSE)/(L19*N19)-0),1)</f>
        <v>1.1192593653977807</v>
      </c>
      <c r="P19" s="36">
        <f>VLOOKUP($AF19,raw!$A$1:$BZ$193,P$2,FALSE)/K19</f>
        <v>0.58848279844897289</v>
      </c>
      <c r="Q19" s="77">
        <f>IF(P19&gt;0,(VLOOKUP($AF19,raw!$A$1:$BZ$193,Q$2,FALSE)/(L19*P19)-0),1)</f>
        <v>0.91292479347995947</v>
      </c>
      <c r="R19" s="50">
        <f>VLOOKUP($AF19,raw!$A$1:$BZ$193,R$2,FALSE)</f>
        <v>408</v>
      </c>
      <c r="S19" s="40" t="str">
        <f t="shared" si="0"/>
        <v>s</v>
      </c>
      <c r="T19" s="34"/>
      <c r="U19" s="30"/>
      <c r="V19" s="110"/>
      <c r="W19" s="102"/>
      <c r="X19" s="105"/>
      <c r="Y19" s="29" t="str">
        <f>IF(ISERROR(VLOOKUP($A19,deadlines!$B$2:$H$52,Y$1,FALSE)),"dk",IF(ISERROR(VLOOKUP($A19,deadlines!$B$2:$H$52,Y$1,FALSE)+1),"","Y"))</f>
        <v>dk</v>
      </c>
      <c r="Z19" s="29" t="str">
        <f>IF(ISERROR(VLOOKUP($A19,deadlines!$B$2:$H$52,Z$1,FALSE)),"dk",IF(ISERROR(VLOOKUP($A19,deadlines!$B$2:$H$52,Z$1,FALSE)+1),"","Y"))</f>
        <v>dk</v>
      </c>
      <c r="AA19" s="29" t="str">
        <f>IF(ISERROR(VLOOKUP($A19,deadlines!$B$2:$H$52,AA$1,FALSE)),"dk",IF(ISERROR(VLOOKUP($A19,deadlines!$B$2:$H$52,AA$1,FALSE)+1),"","Y"))</f>
        <v>dk</v>
      </c>
      <c r="AB19" s="36" t="str">
        <f>IF(ISERROR(VLOOKUP($A19,deadlines!$B$2:$H$52,AB$1,FALSE)),"",VLOOKUP($A19,deadlines!$B$2:$H$52,AB$1,FALSE))</f>
        <v/>
      </c>
      <c r="AC19" s="28"/>
      <c r="AD19" s="30"/>
      <c r="AE19" s="29"/>
      <c r="AF19" s="102">
        <v>121345</v>
      </c>
      <c r="AG19" s="29">
        <v>49</v>
      </c>
    </row>
    <row r="20" spans="1:33" x14ac:dyDescent="0.35">
      <c r="A20" s="29" t="str">
        <f>VLOOKUP($AF20,raw!$A$1:$CA$193,61,FALSE)</f>
        <v>Vanderbilt University</v>
      </c>
      <c r="B20" s="136"/>
      <c r="C20" s="136"/>
      <c r="D20" s="137"/>
      <c r="E20" s="137"/>
      <c r="F20" s="29" t="str">
        <f>VLOOKUP($AF20,raw!$A$1:$CA$193,F$2,FALSE)</f>
        <v>Nashville</v>
      </c>
      <c r="G20" s="30" t="str">
        <f>VLOOKUP($AF20,raw!$A$1:$CA$193,G$2,FALSE)</f>
        <v>TN</v>
      </c>
      <c r="H20" s="34" t="str">
        <f>VLOOKUP($AF20,raw!$A$1:$CA$193,H$2,FALSE)</f>
        <v>City: Large</v>
      </c>
      <c r="I20" s="57" t="str">
        <f>CONCATENATE(VLOOKUP($AF20,raw!$A$1:$BZ$193,I$2,FALSE)," - ",VLOOKUP($AF20,raw!$A$1:$BZ$193,I$2+2,FALSE))</f>
        <v>740 - 770</v>
      </c>
      <c r="J20" s="58" t="str">
        <f>CONCATENATE(VLOOKUP($AF20,raw!$A$1:$BZ$193,J$2,FALSE)," - ",VLOOKUP($AF20,raw!$A$1:$BZ$193,J$2+2,FALSE))</f>
        <v>770 - 790</v>
      </c>
      <c r="K20" s="53">
        <f>VLOOKUP($AF20,raw!$A$1:$BZ$193,K$2,FALSE)</f>
        <v>45313</v>
      </c>
      <c r="L20" s="50">
        <f>VLOOKUP($AF20,raw!$A$1:$BZ$193,L$2,FALSE)</f>
        <v>2844</v>
      </c>
      <c r="M20" s="65">
        <f>VLOOKUP($AF20,raw!$A$1:$BZ$193,M$2,FALSE)/100</f>
        <v>0.06</v>
      </c>
      <c r="N20" s="62">
        <f>VLOOKUP($AF20,raw!$A$1:$BZ$193,N$2,FALSE)/K20</f>
        <v>0.44437578619822127</v>
      </c>
      <c r="O20" s="79">
        <f>IF(N20&gt;0,(VLOOKUP($AF20,raw!$A$1:$BZ$193,O$2,FALSE)/(L20*N20)-0),1)</f>
        <v>1.0761156065617372</v>
      </c>
      <c r="P20" s="80">
        <f>VLOOKUP($AF20,raw!$A$1:$BZ$193,P$2,FALSE)/K20</f>
        <v>0.55562421380177873</v>
      </c>
      <c r="Q20" s="79">
        <f>IF(P20&gt;0,(VLOOKUP($AF20,raw!$A$1:$BZ$193,Q$2,FALSE)/(L20*P20)-0),1)</f>
        <v>0.93912444478185875</v>
      </c>
      <c r="R20" s="50">
        <f>VLOOKUP($AF20,raw!$A$1:$BZ$193,R$2,FALSE)</f>
        <v>1619</v>
      </c>
      <c r="S20" s="40" t="str">
        <f t="shared" si="0"/>
        <v>m</v>
      </c>
      <c r="T20" s="34"/>
      <c r="U20" s="30"/>
      <c r="V20" s="110"/>
      <c r="W20" s="102"/>
      <c r="X20" s="105"/>
      <c r="Y20" s="29" t="str">
        <f>IF(ISERROR(VLOOKUP($A20,deadlines!$B$2:$H$52,Y$1,FALSE)),"dk",IF(ISERROR(VLOOKUP($A20,deadlines!$B$2:$H$52,Y$1,FALSE)+1),"","Y"))</f>
        <v>dk</v>
      </c>
      <c r="Z20" s="29" t="str">
        <f>IF(ISERROR(VLOOKUP($A20,deadlines!$B$2:$H$52,Z$1,FALSE)),"dk",IF(ISERROR(VLOOKUP($A20,deadlines!$B$2:$H$52,Z$1,FALSE)+1),"","Y"))</f>
        <v>dk</v>
      </c>
      <c r="AA20" s="29" t="str">
        <f>IF(ISERROR(VLOOKUP($A20,deadlines!$B$2:$H$52,AA$1,FALSE)),"dk",IF(ISERROR(VLOOKUP($A20,deadlines!$B$2:$H$52,AA$1,FALSE)+1),"","Y"))</f>
        <v>dk</v>
      </c>
      <c r="AB20" s="36" t="str">
        <f>IF(ISERROR(VLOOKUP($A20,deadlines!$B$2:$H$52,AB$1,FALSE)),"",VLOOKUP($A20,deadlines!$B$2:$H$52,AB$1,FALSE))</f>
        <v/>
      </c>
      <c r="AC20" s="28"/>
      <c r="AD20" s="30"/>
      <c r="AE20" s="29"/>
      <c r="AF20" s="102">
        <v>221999</v>
      </c>
      <c r="AG20" s="29">
        <v>84</v>
      </c>
    </row>
    <row r="21" spans="1:33" x14ac:dyDescent="0.35">
      <c r="A21" s="29" t="str">
        <f>VLOOKUP($AF21,raw!$A$1:$CA$193,61,FALSE)</f>
        <v>Northeastern University</v>
      </c>
      <c r="B21" s="136"/>
      <c r="C21" s="136"/>
      <c r="D21" s="137"/>
      <c r="E21" s="137"/>
      <c r="F21" s="29" t="str">
        <f>VLOOKUP($AF21,raw!$A$1:$CA$193,F$2,FALSE)</f>
        <v>Boston</v>
      </c>
      <c r="G21" s="30" t="str">
        <f>VLOOKUP($AF21,raw!$A$1:$CA$193,G$2,FALSE)</f>
        <v>MA</v>
      </c>
      <c r="H21" s="34" t="str">
        <f>VLOOKUP($AF21,raw!$A$1:$CA$193,H$2,FALSE)</f>
        <v>City: Large</v>
      </c>
      <c r="I21" s="57" t="str">
        <f>CONCATENATE(VLOOKUP($AF21,raw!$A$1:$BZ$193,I$2,FALSE)," - ",VLOOKUP($AF21,raw!$A$1:$BZ$193,I$2+2,FALSE))</f>
        <v>710 - 760</v>
      </c>
      <c r="J21" s="58" t="str">
        <f>CONCATENATE(VLOOKUP($AF21,raw!$A$1:$BZ$193,J$2,FALSE)," - ",VLOOKUP($AF21,raw!$A$1:$BZ$193,J$2+2,FALSE))</f>
        <v>750 - 790</v>
      </c>
      <c r="K21" s="53">
        <f>VLOOKUP($AF21,raw!$A$1:$BZ$193,K$2,FALSE)</f>
        <v>96631</v>
      </c>
      <c r="L21" s="50">
        <f>VLOOKUP($AF21,raw!$A$1:$BZ$193,L$2,FALSE)</f>
        <v>5459</v>
      </c>
      <c r="M21" s="65">
        <f>VLOOKUP($AF21,raw!$A$1:$BZ$193,M$2,FALSE)/100</f>
        <v>0.06</v>
      </c>
      <c r="N21" s="62">
        <f>VLOOKUP($AF21,raw!$A$1:$BZ$193,N$2,FALSE)/K21</f>
        <v>0.43160062505821112</v>
      </c>
      <c r="O21" s="78">
        <f>IF(N21&gt;0,(VLOOKUP($AF21,raw!$A$1:$BZ$193,O$2,FALSE)/(L21*N21)-0),1)</f>
        <v>0.93501663574117999</v>
      </c>
      <c r="P21" s="47">
        <f>VLOOKUP($AF21,raw!$A$1:$BZ$193,P$2,FALSE)/K21</f>
        <v>0.56828553983711227</v>
      </c>
      <c r="Q21" s="78">
        <f>IF(P21&gt;0,(VLOOKUP($AF21,raw!$A$1:$BZ$193,Q$2,FALSE)/(L21*P21)-0),1)</f>
        <v>1.0479420558167916</v>
      </c>
      <c r="R21" s="50">
        <f>VLOOKUP($AF21,raw!$A$1:$BZ$193,R$2,FALSE)</f>
        <v>2744</v>
      </c>
      <c r="S21" s="40" t="str">
        <f t="shared" si="0"/>
        <v>l</v>
      </c>
      <c r="T21" s="34"/>
      <c r="U21" s="30"/>
      <c r="V21" s="110"/>
      <c r="W21" s="102"/>
      <c r="X21" s="105"/>
      <c r="Y21" s="29" t="str">
        <f>IF(ISERROR(VLOOKUP($A21,deadlines!$B$2:$H$52,Y$1,FALSE)),"dk",IF(ISERROR(VLOOKUP($A21,deadlines!$B$2:$H$52,Y$1,FALSE)+1),"","Y"))</f>
        <v>dk</v>
      </c>
      <c r="Z21" s="29" t="str">
        <f>IF(ISERROR(VLOOKUP($A21,deadlines!$B$2:$H$52,Z$1,FALSE)),"dk",IF(ISERROR(VLOOKUP($A21,deadlines!$B$2:$H$52,Z$1,FALSE)+1),"","Y"))</f>
        <v>dk</v>
      </c>
      <c r="AA21" s="29" t="str">
        <f>IF(ISERROR(VLOOKUP($A21,deadlines!$B$2:$H$52,AA$1,FALSE)),"dk",IF(ISERROR(VLOOKUP($A21,deadlines!$B$2:$H$52,AA$1,FALSE)+1),"","Y"))</f>
        <v>dk</v>
      </c>
      <c r="AB21" s="36" t="str">
        <f>IF(ISERROR(VLOOKUP($A21,deadlines!$B$2:$H$52,AB$1,FALSE)),"",VLOOKUP($A21,deadlines!$B$2:$H$52,AB$1,FALSE))</f>
        <v/>
      </c>
      <c r="AC21" s="28"/>
      <c r="AD21" s="30"/>
      <c r="AE21" s="74"/>
      <c r="AF21" s="103">
        <v>167358</v>
      </c>
      <c r="AG21" s="32">
        <v>93</v>
      </c>
    </row>
    <row r="22" spans="1:33" x14ac:dyDescent="0.35">
      <c r="A22" s="29" t="str">
        <f>VLOOKUP($AF22,raw!$A$1:$CA$193,61,FALSE)</f>
        <v>Bowdoin College</v>
      </c>
      <c r="B22" s="136"/>
      <c r="C22" s="136"/>
      <c r="D22" s="137"/>
      <c r="E22" s="137"/>
      <c r="F22" s="73" t="str">
        <f>VLOOKUP($AF22,raw!$A$1:$CA$193,F$2,FALSE)</f>
        <v>Brunswick</v>
      </c>
      <c r="G22" s="45" t="str">
        <f>VLOOKUP($AF22,raw!$A$1:$CA$193,G$2,FALSE)</f>
        <v>ME</v>
      </c>
      <c r="H22" s="43" t="str">
        <f>VLOOKUP($AF22,raw!$A$1:$CA$193,H$2,FALSE)</f>
        <v>Town: Fringe</v>
      </c>
      <c r="I22" s="59" t="str">
        <f>CONCATENATE(VLOOKUP($AF22,raw!$A$1:$BZ$193,I$2,FALSE)," - ",VLOOKUP($AF22,raw!$A$1:$BZ$193,I$2+2,FALSE))</f>
        <v>730 - 760</v>
      </c>
      <c r="J22" s="60" t="str">
        <f>CONCATENATE(VLOOKUP($AF22,raw!$A$1:$BZ$193,J$2,FALSE)," - ",VLOOKUP($AF22,raw!$A$1:$BZ$193,J$2+2,FALSE))</f>
        <v>750 - 790</v>
      </c>
      <c r="K22" s="54">
        <f>VLOOKUP($AF22,raw!$A$1:$BZ$193,K$2,FALSE)</f>
        <v>10966</v>
      </c>
      <c r="L22" s="51">
        <f>VLOOKUP($AF22,raw!$A$1:$BZ$193,L$2,FALSE)</f>
        <v>879</v>
      </c>
      <c r="M22" s="66">
        <f>VLOOKUP($AF22,raw!$A$1:$BZ$193,M$2,FALSE)/100</f>
        <v>0.08</v>
      </c>
      <c r="N22" s="63">
        <f>VLOOKUP($AF22,raw!$A$1:$BZ$193,N$2,FALSE)/K22</f>
        <v>0.44364399051614078</v>
      </c>
      <c r="O22" s="78">
        <f>IF(N22&gt;0,(VLOOKUP($AF22,raw!$A$1:$BZ$193,O$2,FALSE)/(L22*N22)-0),1)</f>
        <v>1.0770250693643038</v>
      </c>
      <c r="P22" s="47">
        <f>VLOOKUP($AF22,raw!$A$1:$BZ$193,P$2,FALSE)/K22</f>
        <v>0.55635600948385922</v>
      </c>
      <c r="Q22" s="78">
        <f>IF(P22&gt;0,(VLOOKUP($AF22,raw!$A$1:$BZ$193,Q$2,FALSE)/(L22*P22)-0),1)</f>
        <v>0.93857941936447498</v>
      </c>
      <c r="R22" s="51">
        <f>VLOOKUP($AF22,raw!$A$1:$BZ$193,R$2,FALSE)</f>
        <v>504</v>
      </c>
      <c r="S22" s="48" t="str">
        <f t="shared" si="0"/>
        <v>s</v>
      </c>
      <c r="T22" s="59"/>
      <c r="U22" s="43"/>
      <c r="V22" s="110" t="s">
        <v>445</v>
      </c>
      <c r="W22" s="107">
        <v>1</v>
      </c>
      <c r="X22" s="104">
        <v>1</v>
      </c>
      <c r="Y22" s="91" t="str">
        <f>IF(ISERROR(VLOOKUP($A22,deadlines!$B$2:$H$52,Y$1,FALSE)),"dk",IF(ISERROR(VLOOKUP($A22,deadlines!$B$2:$H$52,Y$1,FALSE)+1),"","Y"))</f>
        <v>Y</v>
      </c>
      <c r="Z22" s="91" t="str">
        <f>IF(ISERROR(VLOOKUP($A22,deadlines!$B$2:$H$52,Z$1,FALSE)),"dk",IF(ISERROR(VLOOKUP($A22,deadlines!$B$2:$H$52,Z$1,FALSE)+1),"","Y"))</f>
        <v>Y</v>
      </c>
      <c r="AA22" s="91" t="str">
        <f>IF(ISERROR(VLOOKUP($A22,deadlines!$B$2:$H$52,AA$1,FALSE)),"dk",IF(ISERROR(VLOOKUP($A22,deadlines!$B$2:$H$52,AA$1,FALSE)+1),"","Y"))</f>
        <v/>
      </c>
      <c r="AB22" s="96">
        <f>IF(ISERROR(VLOOKUP($A22,deadlines!$B$2:$H$52,AB$1,FALSE)),"",VLOOKUP($A22,deadlines!$B$2:$H$52,AB$1,FALSE))</f>
        <v>0.13</v>
      </c>
      <c r="AC22" s="44"/>
      <c r="AD22" s="45"/>
      <c r="AE22" s="73"/>
      <c r="AF22" s="102">
        <v>161004</v>
      </c>
      <c r="AG22" s="29">
        <v>9</v>
      </c>
    </row>
    <row r="23" spans="1:33" x14ac:dyDescent="0.35">
      <c r="A23" s="29" t="str">
        <f>VLOOKUP($AF23,raw!$A$1:$CA$193,61,FALSE)</f>
        <v>Colby College</v>
      </c>
      <c r="B23" s="136"/>
      <c r="C23" s="136"/>
      <c r="D23" s="137"/>
      <c r="E23" s="137"/>
      <c r="F23" s="29" t="str">
        <f>VLOOKUP($AF23,raw!$A$1:$CA$193,F$2,FALSE)</f>
        <v>Waterville</v>
      </c>
      <c r="G23" s="30" t="str">
        <f>VLOOKUP($AF23,raw!$A$1:$CA$193,G$2,FALSE)</f>
        <v>ME</v>
      </c>
      <c r="H23" s="34" t="str">
        <f>VLOOKUP($AF23,raw!$A$1:$CA$193,H$2,FALSE)</f>
        <v>Town: Remote</v>
      </c>
      <c r="I23" s="57" t="str">
        <f>CONCATENATE(VLOOKUP($AF23,raw!$A$1:$BZ$193,I$2,FALSE)," - ",VLOOKUP($AF23,raw!$A$1:$BZ$193,I$2+2,FALSE))</f>
        <v>710 - 760</v>
      </c>
      <c r="J23" s="58" t="str">
        <f>CONCATENATE(VLOOKUP($AF23,raw!$A$1:$BZ$193,J$2,FALSE)," - ",VLOOKUP($AF23,raw!$A$1:$BZ$193,J$2+2,FALSE))</f>
        <v>730 - 790</v>
      </c>
      <c r="K23" s="53">
        <f>VLOOKUP($AF23,raw!$A$1:$BZ$193,K$2,FALSE)</f>
        <v>17786</v>
      </c>
      <c r="L23" s="50">
        <f>VLOOKUP($AF23,raw!$A$1:$BZ$193,L$2,FALSE)</f>
        <v>1215</v>
      </c>
      <c r="M23" s="65">
        <f>VLOOKUP($AF23,raw!$A$1:$BZ$193,M$2,FALSE)/100</f>
        <v>7.0000000000000007E-2</v>
      </c>
      <c r="N23" s="62">
        <f>VLOOKUP($AF23,raw!$A$1:$BZ$193,N$2,FALSE)/K23</f>
        <v>0.476723265489711</v>
      </c>
      <c r="O23" s="77">
        <f>IF(N23&gt;0,(VLOOKUP($AF23,raw!$A$1:$BZ$193,O$2,FALSE)/(L23*N23)-0),1)</f>
        <v>1.0203398665402834</v>
      </c>
      <c r="P23" s="36">
        <f>VLOOKUP($AF23,raw!$A$1:$BZ$193,P$2,FALSE)/K23</f>
        <v>0.523276734510289</v>
      </c>
      <c r="Q23" s="77">
        <f>IF(P23&gt;0,(VLOOKUP($AF23,raw!$A$1:$BZ$193,Q$2,FALSE)/(L23*P23)-0),1)</f>
        <v>0.98146967568549881</v>
      </c>
      <c r="R23" s="50">
        <f>VLOOKUP($AF23,raw!$A$1:$BZ$193,R$2,FALSE)</f>
        <v>605</v>
      </c>
      <c r="S23" s="40" t="str">
        <f t="shared" si="0"/>
        <v>s</v>
      </c>
      <c r="T23" s="34"/>
      <c r="U23" s="30"/>
      <c r="V23" s="110" t="s">
        <v>445</v>
      </c>
      <c r="W23" s="102"/>
      <c r="X23" s="105"/>
      <c r="Y23" s="29" t="str">
        <f>IF(ISERROR(VLOOKUP($A23,deadlines!$B$2:$H$52,Y$1,FALSE)),"dk",IF(ISERROR(VLOOKUP($A23,deadlines!$B$2:$H$52,Y$1,FALSE)+1),"","Y"))</f>
        <v>dk</v>
      </c>
      <c r="Z23" s="29" t="str">
        <f>IF(ISERROR(VLOOKUP($A23,deadlines!$B$2:$H$52,Z$1,FALSE)),"dk",IF(ISERROR(VLOOKUP($A23,deadlines!$B$2:$H$52,Z$1,FALSE)+1),"","Y"))</f>
        <v>dk</v>
      </c>
      <c r="AA23" s="29" t="str">
        <f>IF(ISERROR(VLOOKUP($A23,deadlines!$B$2:$H$52,AA$1,FALSE)),"dk",IF(ISERROR(VLOOKUP($A23,deadlines!$B$2:$H$52,AA$1,FALSE)+1),"","Y"))</f>
        <v>dk</v>
      </c>
      <c r="AB23" s="36" t="str">
        <f>IF(ISERROR(VLOOKUP($A23,deadlines!$B$2:$H$52,AB$1,FALSE)),"",VLOOKUP($A23,deadlines!$B$2:$H$52,AB$1,FALSE))</f>
        <v/>
      </c>
      <c r="AC23" s="28"/>
      <c r="AD23" s="30"/>
      <c r="AE23" s="29"/>
      <c r="AF23" s="102">
        <v>161086</v>
      </c>
      <c r="AG23" s="29">
        <v>17</v>
      </c>
    </row>
    <row r="24" spans="1:33" x14ac:dyDescent="0.35">
      <c r="A24" s="29" t="str">
        <f>VLOOKUP($AF24,raw!$A$1:$CA$193,61,FALSE)</f>
        <v>New York University</v>
      </c>
      <c r="B24" s="136"/>
      <c r="C24" s="136"/>
      <c r="D24" s="137"/>
      <c r="E24" s="137"/>
      <c r="F24" s="29" t="str">
        <f>VLOOKUP($AF24,raw!$A$1:$CA$193,F$2,FALSE)</f>
        <v>New York</v>
      </c>
      <c r="G24" s="30" t="str">
        <f>VLOOKUP($AF24,raw!$A$1:$CA$193,G$2,FALSE)</f>
        <v>NY</v>
      </c>
      <c r="H24" s="34" t="str">
        <f>VLOOKUP($AF24,raw!$A$1:$CA$193,H$2,FALSE)</f>
        <v>City: Large</v>
      </c>
      <c r="I24" s="57" t="str">
        <f>CONCATENATE(VLOOKUP($AF24,raw!$A$1:$BZ$193,I$2,FALSE)," - ",VLOOKUP($AF24,raw!$A$1:$BZ$193,I$2+2,FALSE))</f>
        <v>720 - 770</v>
      </c>
      <c r="J24" s="58" t="str">
        <f>CONCATENATE(VLOOKUP($AF24,raw!$A$1:$BZ$193,J$2,FALSE)," - ",VLOOKUP($AF24,raw!$A$1:$BZ$193,J$2+2,FALSE))</f>
        <v>760 - 800</v>
      </c>
      <c r="K24" s="53">
        <f>VLOOKUP($AF24,raw!$A$1:$BZ$193,K$2,FALSE)</f>
        <v>113578</v>
      </c>
      <c r="L24" s="50">
        <f>VLOOKUP($AF24,raw!$A$1:$BZ$193,L$2,FALSE)</f>
        <v>10693</v>
      </c>
      <c r="M24" s="65">
        <f>VLOOKUP($AF24,raw!$A$1:$BZ$193,M$2,FALSE)/100</f>
        <v>0.09</v>
      </c>
      <c r="N24" s="62">
        <f>VLOOKUP($AF24,raw!$A$1:$BZ$193,N$2,FALSE)/K24</f>
        <v>0.39723361918681432</v>
      </c>
      <c r="O24" s="77">
        <f>IF(N24&gt;0,(VLOOKUP($AF24,raw!$A$1:$BZ$193,O$2,FALSE)/(L24*N24)-0),1)</f>
        <v>1.0019730841814878</v>
      </c>
      <c r="P24" s="36">
        <f>VLOOKUP($AF24,raw!$A$1:$BZ$193,P$2,FALSE)/K24</f>
        <v>0.60273116272517568</v>
      </c>
      <c r="Q24" s="77">
        <f>IF(P24&gt;0,(VLOOKUP($AF24,raw!$A$1:$BZ$193,Q$2,FALSE)/(L24*P24)-0),1)</f>
        <v>0.99813742203749556</v>
      </c>
      <c r="R24" s="50">
        <f>VLOOKUP($AF24,raw!$A$1:$BZ$193,R$2,FALSE)</f>
        <v>5802</v>
      </c>
      <c r="S24" s="40" t="str">
        <f t="shared" si="0"/>
        <v>l</v>
      </c>
      <c r="T24" s="34"/>
      <c r="U24" s="30"/>
      <c r="V24" s="110" t="s">
        <v>445</v>
      </c>
      <c r="W24" s="102">
        <v>1</v>
      </c>
      <c r="X24" s="105"/>
      <c r="Y24" s="29" t="str">
        <f>IF(ISERROR(VLOOKUP($A24,deadlines!$B$2:$H$52,Y$1,FALSE)),"dk",IF(ISERROR(VLOOKUP($A24,deadlines!$B$2:$H$52,Y$1,FALSE)+1),"","Y"))</f>
        <v>dk</v>
      </c>
      <c r="Z24" s="29" t="str">
        <f>IF(ISERROR(VLOOKUP($A24,deadlines!$B$2:$H$52,Z$1,FALSE)),"dk",IF(ISERROR(VLOOKUP($A24,deadlines!$B$2:$H$52,Z$1,FALSE)+1),"","Y"))</f>
        <v>dk</v>
      </c>
      <c r="AA24" s="29" t="str">
        <f>IF(ISERROR(VLOOKUP($A24,deadlines!$B$2:$H$52,AA$1,FALSE)),"dk",IF(ISERROR(VLOOKUP($A24,deadlines!$B$2:$H$52,AA$1,FALSE)+1),"","Y"))</f>
        <v>dk</v>
      </c>
      <c r="AB24" s="36" t="str">
        <f>IF(ISERROR(VLOOKUP($A24,deadlines!$B$2:$H$52,AB$1,FALSE)),"",VLOOKUP($A24,deadlines!$B$2:$H$52,AB$1,FALSE))</f>
        <v/>
      </c>
      <c r="AC24" s="28"/>
      <c r="AD24" s="30"/>
      <c r="AE24" s="29"/>
      <c r="AF24" s="102">
        <v>193900</v>
      </c>
      <c r="AG24" s="29">
        <v>44</v>
      </c>
    </row>
    <row r="25" spans="1:33" x14ac:dyDescent="0.35">
      <c r="A25" s="29" t="str">
        <f>VLOOKUP($AF25,raw!$A$1:$CA$193,61,FALSE)</f>
        <v>University of California-Los Angeles</v>
      </c>
      <c r="B25" s="136"/>
      <c r="C25" s="136"/>
      <c r="D25" s="137"/>
      <c r="E25" s="137"/>
      <c r="F25" s="29" t="str">
        <f>VLOOKUP($AF25,raw!$A$1:$CA$193,F$2,FALSE)</f>
        <v>Los Angeles</v>
      </c>
      <c r="G25" s="30" t="str">
        <f>VLOOKUP($AF25,raw!$A$1:$CA$193,G$2,FALSE)</f>
        <v>CA</v>
      </c>
      <c r="H25" s="34" t="str">
        <f>VLOOKUP($AF25,raw!$A$1:$CA$193,H$2,FALSE)</f>
        <v>City: Large</v>
      </c>
      <c r="I25" s="57" t="str">
        <f>CONCATENATE(VLOOKUP($AF25,raw!$A$1:$BZ$193,I$2,FALSE)," - ",VLOOKUP($AF25,raw!$A$1:$BZ$193,I$2+2,FALSE))</f>
        <v xml:space="preserve"> - </v>
      </c>
      <c r="J25" s="58" t="str">
        <f>CONCATENATE(VLOOKUP($AF25,raw!$A$1:$BZ$193,J$2,FALSE)," - ",VLOOKUP($AF25,raw!$A$1:$BZ$193,J$2+2,FALSE))</f>
        <v xml:space="preserve"> - </v>
      </c>
      <c r="K25" s="53">
        <f>VLOOKUP($AF25,raw!$A$1:$BZ$193,K$2,FALSE)</f>
        <v>145903</v>
      </c>
      <c r="L25" s="50">
        <f>VLOOKUP($AF25,raw!$A$1:$BZ$193,L$2,FALSE)</f>
        <v>12736</v>
      </c>
      <c r="M25" s="65">
        <f>VLOOKUP($AF25,raw!$A$1:$BZ$193,M$2,FALSE)/100</f>
        <v>0.09</v>
      </c>
      <c r="N25" s="62">
        <f>VLOOKUP($AF25,raw!$A$1:$BZ$193,N$2,FALSE)/K25</f>
        <v>0.4618410862011062</v>
      </c>
      <c r="O25" s="79">
        <f>IF(N25&gt;0,(VLOOKUP($AF25,raw!$A$1:$BZ$193,O$2,FALSE)/(L25*N25)-0),1)</f>
        <v>0.84647962693714629</v>
      </c>
      <c r="P25" s="80">
        <f>VLOOKUP($AF25,raw!$A$1:$BZ$193,P$2,FALSE)/K25</f>
        <v>0.5381589137988938</v>
      </c>
      <c r="Q25" s="79">
        <f>IF(P25&gt;0,(VLOOKUP($AF25,raw!$A$1:$BZ$193,Q$2,FALSE)/(L25*P25)-0),1)</f>
        <v>1.1317492176220703</v>
      </c>
      <c r="R25" s="50">
        <f>VLOOKUP($AF25,raw!$A$1:$BZ$193,R$2,FALSE)</f>
        <v>6579</v>
      </c>
      <c r="S25" s="40" t="str">
        <f t="shared" si="0"/>
        <v>l</v>
      </c>
      <c r="T25" s="28"/>
      <c r="U25" s="34"/>
      <c r="V25" s="110"/>
      <c r="W25" s="102">
        <v>1</v>
      </c>
      <c r="X25" s="105"/>
      <c r="Y25" s="29" t="str">
        <f>IF(ISERROR(VLOOKUP($A25,deadlines!$B$2:$H$52,Y$1,FALSE)),"dk",IF(ISERROR(VLOOKUP($A25,deadlines!$B$2:$H$52,Y$1,FALSE)+1),"","Y"))</f>
        <v>dk</v>
      </c>
      <c r="Z25" s="29" t="str">
        <f>IF(ISERROR(VLOOKUP($A25,deadlines!$B$2:$H$52,Z$1,FALSE)),"dk",IF(ISERROR(VLOOKUP($A25,deadlines!$B$2:$H$52,Z$1,FALSE)+1),"","Y"))</f>
        <v>dk</v>
      </c>
      <c r="AA25" s="29" t="str">
        <f>IF(ISERROR(VLOOKUP($A25,deadlines!$B$2:$H$52,AA$1,FALSE)),"dk",IF(ISERROR(VLOOKUP($A25,deadlines!$B$2:$H$52,AA$1,FALSE)+1),"","Y"))</f>
        <v>dk</v>
      </c>
      <c r="AB25" s="95" t="str">
        <f>IF(ISERROR(VLOOKUP($A25,deadlines!$B$2:$H$52,AB$1,FALSE)),"",VLOOKUP($A25,deadlines!$B$2:$H$52,AB$1,FALSE))</f>
        <v/>
      </c>
      <c r="AC25" s="28"/>
      <c r="AD25" s="30"/>
      <c r="AE25" s="74"/>
      <c r="AF25" s="103">
        <v>110662</v>
      </c>
      <c r="AG25" s="32">
        <v>66</v>
      </c>
    </row>
    <row r="26" spans="1:33" x14ac:dyDescent="0.35">
      <c r="A26" s="29" t="str">
        <f>VLOOKUP($AF26,raw!$A$1:$CA$193,61,FALSE)</f>
        <v>Barnard College</v>
      </c>
      <c r="B26" s="136"/>
      <c r="C26" s="136"/>
      <c r="D26" s="137"/>
      <c r="E26" s="137"/>
      <c r="F26" s="73" t="str">
        <f>VLOOKUP($AF26,raw!$A$1:$CA$193,F$2,FALSE)</f>
        <v>New York</v>
      </c>
      <c r="G26" s="45" t="str">
        <f>VLOOKUP($AF26,raw!$A$1:$CA$193,G$2,FALSE)</f>
        <v>NY</v>
      </c>
      <c r="H26" s="43" t="str">
        <f>VLOOKUP($AF26,raw!$A$1:$CA$193,H$2,FALSE)</f>
        <v>City: Large</v>
      </c>
      <c r="I26" s="59" t="str">
        <f>CONCATENATE(VLOOKUP($AF26,raw!$A$1:$BZ$193,I$2,FALSE)," - ",VLOOKUP($AF26,raw!$A$1:$BZ$193,I$2+2,FALSE))</f>
        <v>723 - 770</v>
      </c>
      <c r="J26" s="60" t="str">
        <f>CONCATENATE(VLOOKUP($AF26,raw!$A$1:$BZ$193,J$2,FALSE)," - ",VLOOKUP($AF26,raw!$A$1:$BZ$193,J$2+2,FALSE))</f>
        <v>730 - 780</v>
      </c>
      <c r="K26" s="54">
        <f>VLOOKUP($AF26,raw!$A$1:$BZ$193,K$2,FALSE)</f>
        <v>11803</v>
      </c>
      <c r="L26" s="51">
        <f>VLOOKUP($AF26,raw!$A$1:$BZ$193,L$2,FALSE)</f>
        <v>940</v>
      </c>
      <c r="M26" s="66">
        <f>VLOOKUP($AF26,raw!$A$1:$BZ$193,M$2,FALSE)/100</f>
        <v>0.08</v>
      </c>
      <c r="N26" s="63">
        <f>VLOOKUP($AF26,raw!$A$1:$BZ$193,N$2,FALSE)/K26</f>
        <v>0</v>
      </c>
      <c r="O26" s="78">
        <f>IF(N26&gt;0,(VLOOKUP($AF26,raw!$A$1:$BZ$193,O$2,FALSE)/(L26*N26)-0),1)</f>
        <v>1</v>
      </c>
      <c r="P26" s="47">
        <f>VLOOKUP($AF26,raw!$A$1:$BZ$193,P$2,FALSE)/K26</f>
        <v>1</v>
      </c>
      <c r="Q26" s="78">
        <f>IF(P26&gt;0,(VLOOKUP($AF26,raw!$A$1:$BZ$193,Q$2,FALSE)/(L26*P26)-0),1)</f>
        <v>1</v>
      </c>
      <c r="R26" s="51">
        <f>VLOOKUP($AF26,raw!$A$1:$BZ$193,R$2,FALSE)</f>
        <v>700</v>
      </c>
      <c r="S26" s="48" t="str">
        <f t="shared" si="0"/>
        <v>s</v>
      </c>
      <c r="T26" s="43"/>
      <c r="U26" s="45"/>
      <c r="V26" s="111"/>
      <c r="W26" s="107"/>
      <c r="X26" s="104"/>
      <c r="Y26" s="73" t="str">
        <f>IF(ISERROR(VLOOKUP($A26,deadlines!$B$2:$H$52,Y$1,FALSE)),"dk",IF(ISERROR(VLOOKUP($A26,deadlines!$B$2:$H$52,Y$1,FALSE)+1),"","Y"))</f>
        <v>dk</v>
      </c>
      <c r="Z26" s="73" t="str">
        <f>IF(ISERROR(VLOOKUP($A26,deadlines!$B$2:$H$52,Z$1,FALSE)),"dk",IF(ISERROR(VLOOKUP($A26,deadlines!$B$2:$H$52,Z$1,FALSE)+1),"","Y"))</f>
        <v>dk</v>
      </c>
      <c r="AA26" s="73" t="str">
        <f>IF(ISERROR(VLOOKUP($A26,deadlines!$B$2:$H$52,AA$1,FALSE)),"dk",IF(ISERROR(VLOOKUP($A26,deadlines!$B$2:$H$52,AA$1,FALSE)+1),"","Y"))</f>
        <v>dk</v>
      </c>
      <c r="AB26" s="47" t="str">
        <f>IF(ISERROR(VLOOKUP($A26,deadlines!$B$2:$H$52,AB$1,FALSE)),"",VLOOKUP($A26,deadlines!$B$2:$H$52,AB$1,FALSE))</f>
        <v/>
      </c>
      <c r="AC26" s="44"/>
      <c r="AD26" s="45"/>
      <c r="AE26" s="73"/>
      <c r="AF26" s="102">
        <v>189097</v>
      </c>
      <c r="AG26" s="29">
        <v>4</v>
      </c>
    </row>
    <row r="27" spans="1:33" x14ac:dyDescent="0.35">
      <c r="A27" s="29" t="str">
        <f>VLOOKUP($AF27,raw!$A$1:$CA$193,61,FALSE)</f>
        <v>Amherst College</v>
      </c>
      <c r="B27" s="136"/>
      <c r="C27" s="136"/>
      <c r="D27" s="137"/>
      <c r="E27" s="137"/>
      <c r="F27" s="29" t="str">
        <f>VLOOKUP($AF27,raw!$A$1:$CA$193,F$2,FALSE)</f>
        <v>Amherst</v>
      </c>
      <c r="G27" s="30" t="str">
        <f>VLOOKUP($AF27,raw!$A$1:$CA$193,G$2,FALSE)</f>
        <v>MA</v>
      </c>
      <c r="H27" s="34" t="str">
        <f>VLOOKUP($AF27,raw!$A$1:$CA$193,H$2,FALSE)</f>
        <v>City: Small</v>
      </c>
      <c r="I27" s="57" t="str">
        <f>CONCATENATE(VLOOKUP($AF27,raw!$A$1:$BZ$193,I$2,FALSE)," - ",VLOOKUP($AF27,raw!$A$1:$BZ$193,I$2+2,FALSE))</f>
        <v>690 - 770</v>
      </c>
      <c r="J27" s="58" t="str">
        <f>CONCATENATE(VLOOKUP($AF27,raw!$A$1:$BZ$193,J$2,FALSE)," - ",VLOOKUP($AF27,raw!$A$1:$BZ$193,J$2+2,FALSE))</f>
        <v>670 - 780</v>
      </c>
      <c r="K27" s="53">
        <f>VLOOKUP($AF27,raw!$A$1:$BZ$193,K$2,FALSE)</f>
        <v>12727</v>
      </c>
      <c r="L27" s="50">
        <f>VLOOKUP($AF27,raw!$A$1:$BZ$193,L$2,FALSE)</f>
        <v>1250</v>
      </c>
      <c r="M27" s="65">
        <f>VLOOKUP($AF27,raw!$A$1:$BZ$193,M$2,FALSE)/100</f>
        <v>0.1</v>
      </c>
      <c r="N27" s="62">
        <f>VLOOKUP($AF27,raw!$A$1:$BZ$193,N$2,FALSE)/K27</f>
        <v>0.38775830910662373</v>
      </c>
      <c r="O27" s="79">
        <f>IF(N27&gt;0,(VLOOKUP($AF27,raw!$A$1:$BZ$193,O$2,FALSE)/(L27*N27)-0),1)</f>
        <v>1.0171284295845997</v>
      </c>
      <c r="P27" s="80">
        <f>VLOOKUP($AF27,raw!$A$1:$BZ$193,P$2,FALSE)/K27</f>
        <v>0.45517403944370238</v>
      </c>
      <c r="Q27" s="79">
        <f>IF(P27&gt;0,(VLOOKUP($AF27,raw!$A$1:$BZ$193,Q$2,FALSE)/(L27*P27)-0),1)</f>
        <v>1.0492689798032109</v>
      </c>
      <c r="R27" s="50">
        <f>VLOOKUP($AF27,raw!$A$1:$BZ$193,R$2,FALSE)</f>
        <v>488</v>
      </c>
      <c r="S27" s="40" t="str">
        <f t="shared" si="0"/>
        <v>s</v>
      </c>
      <c r="T27" s="34"/>
      <c r="U27" s="30"/>
      <c r="V27" s="110" t="s">
        <v>445</v>
      </c>
      <c r="W27" s="102">
        <v>1</v>
      </c>
      <c r="X27" s="105">
        <v>1</v>
      </c>
      <c r="Y27" s="75" t="str">
        <f>IF(ISERROR(VLOOKUP($A27,deadlines!$B$2:$H$52,Y$1,FALSE)),"dk",IF(ISERROR(VLOOKUP($A27,deadlines!$B$2:$H$52,Y$1,FALSE)+1),"","Y"))</f>
        <v>Y</v>
      </c>
      <c r="Z27" s="75" t="str">
        <f>IF(ISERROR(VLOOKUP($A27,deadlines!$B$2:$H$52,Z$1,FALSE)),"dk",IF(ISERROR(VLOOKUP($A27,deadlines!$B$2:$H$52,Z$1,FALSE)+1),"","Y"))</f>
        <v/>
      </c>
      <c r="AA27" s="75" t="str">
        <f>IF(ISERROR(VLOOKUP($A27,deadlines!$B$2:$H$52,AA$1,FALSE)),"dk",IF(ISERROR(VLOOKUP($A27,deadlines!$B$2:$H$52,AA$1,FALSE)+1),"","Y"))</f>
        <v/>
      </c>
      <c r="AB27" s="36">
        <f>IF(ISERROR(VLOOKUP($A27,deadlines!$B$2:$H$52,AB$1,FALSE)),"",VLOOKUP($A27,deadlines!$B$2:$H$52,AB$1,FALSE))</f>
        <v>0.27</v>
      </c>
      <c r="AC27" s="28"/>
      <c r="AD27" s="30"/>
      <c r="AE27" s="29"/>
      <c r="AF27" s="102">
        <v>164465</v>
      </c>
      <c r="AG27" s="29">
        <v>2</v>
      </c>
    </row>
    <row r="28" spans="1:33" x14ac:dyDescent="0.35">
      <c r="A28" s="29" t="str">
        <f>VLOOKUP($AF28,raw!$A$1:$CA$193,61,FALSE)</f>
        <v>Williams College</v>
      </c>
      <c r="B28" s="136"/>
      <c r="C28" s="136"/>
      <c r="D28" s="137"/>
      <c r="E28" s="137"/>
      <c r="F28" s="29" t="str">
        <f>VLOOKUP($AF28,raw!$A$1:$CA$193,F$2,FALSE)</f>
        <v>Williamstown</v>
      </c>
      <c r="G28" s="30" t="str">
        <f>VLOOKUP($AF28,raw!$A$1:$CA$193,G$2,FALSE)</f>
        <v>MA</v>
      </c>
      <c r="H28" s="34" t="str">
        <f>VLOOKUP($AF28,raw!$A$1:$CA$193,H$2,FALSE)</f>
        <v>Town: Fringe</v>
      </c>
      <c r="I28" s="57" t="str">
        <f>CONCATENATE(VLOOKUP($AF28,raw!$A$1:$BZ$193,I$2,FALSE)," - ",VLOOKUP($AF28,raw!$A$1:$BZ$193,I$2+2,FALSE))</f>
        <v>730 - 770</v>
      </c>
      <c r="J28" s="58" t="str">
        <f>CONCATENATE(VLOOKUP($AF28,raw!$A$1:$BZ$193,J$2,FALSE)," - ",VLOOKUP($AF28,raw!$A$1:$BZ$193,J$2+2,FALSE))</f>
        <v>740 - 790</v>
      </c>
      <c r="K28" s="53">
        <f>VLOOKUP($AF28,raw!$A$1:$BZ$193,K$2,FALSE)</f>
        <v>11465</v>
      </c>
      <c r="L28" s="50">
        <f>VLOOKUP($AF28,raw!$A$1:$BZ$193,L$2,FALSE)</f>
        <v>1145</v>
      </c>
      <c r="M28" s="65">
        <f>VLOOKUP($AF28,raw!$A$1:$BZ$193,M$2,FALSE)/100</f>
        <v>0.1</v>
      </c>
      <c r="N28" s="62">
        <f>VLOOKUP($AF28,raw!$A$1:$BZ$193,N$2,FALSE)/K28</f>
        <v>0.45311818578281726</v>
      </c>
      <c r="O28" s="77">
        <f>IF(N28&gt;0,(VLOOKUP($AF28,raw!$A$1:$BZ$193,O$2,FALSE)/(L28*N28)-0),1)</f>
        <v>1.0003463188907709</v>
      </c>
      <c r="P28" s="36">
        <f>VLOOKUP($AF28,raw!$A$1:$BZ$193,P$2,FALSE)/K28</f>
        <v>0.50832969908416925</v>
      </c>
      <c r="Q28" s="77">
        <f>IF(P28&gt;0,(VLOOKUP($AF28,raw!$A$1:$BZ$193,Q$2,FALSE)/(L28*P28)-0),1)</f>
        <v>1.0085260734955177</v>
      </c>
      <c r="R28" s="50">
        <f>VLOOKUP($AF28,raw!$A$1:$BZ$193,R$2,FALSE)</f>
        <v>541</v>
      </c>
      <c r="S28" s="40" t="str">
        <f t="shared" si="0"/>
        <v>s</v>
      </c>
      <c r="T28" s="57"/>
      <c r="U28" s="34"/>
      <c r="V28" s="110" t="s">
        <v>445</v>
      </c>
      <c r="W28" s="102">
        <v>1</v>
      </c>
      <c r="X28" s="105">
        <v>1</v>
      </c>
      <c r="Y28" s="75" t="str">
        <f>IF(ISERROR(VLOOKUP($A28,deadlines!$B$2:$H$52,Y$1,FALSE)),"dk",IF(ISERROR(VLOOKUP($A28,deadlines!$B$2:$H$52,Y$1,FALSE)+1),"","Y"))</f>
        <v>Y</v>
      </c>
      <c r="Z28" s="75" t="str">
        <f>IF(ISERROR(VLOOKUP($A28,deadlines!$B$2:$H$52,Z$1,FALSE)),"dk",IF(ISERROR(VLOOKUP($A28,deadlines!$B$2:$H$52,Z$1,FALSE)+1),"","Y"))</f>
        <v/>
      </c>
      <c r="AA28" s="75" t="str">
        <f>IF(ISERROR(VLOOKUP($A28,deadlines!$B$2:$H$52,AA$1,FALSE)),"dk",IF(ISERROR(VLOOKUP($A28,deadlines!$B$2:$H$52,AA$1,FALSE)+1),"","Y"))</f>
        <v/>
      </c>
      <c r="AB28" s="95">
        <f>IF(ISERROR(VLOOKUP($A28,deadlines!$B$2:$H$52,AB$1,FALSE)),"",VLOOKUP($A28,deadlines!$B$2:$H$52,AB$1,FALSE))</f>
        <v>0.23</v>
      </c>
      <c r="AC28" s="28"/>
      <c r="AD28" s="30"/>
      <c r="AE28" s="29"/>
      <c r="AF28" s="102">
        <v>168342</v>
      </c>
      <c r="AG28" s="29">
        <v>90</v>
      </c>
    </row>
    <row r="29" spans="1:33" x14ac:dyDescent="0.35">
      <c r="A29" s="29" t="str">
        <f>VLOOKUP($AF29,raw!$A$1:$CA$193,61,FALSE)</f>
        <v>Tufts University</v>
      </c>
      <c r="B29" s="136"/>
      <c r="C29" s="136"/>
      <c r="D29" s="137"/>
      <c r="E29" s="137"/>
      <c r="F29" s="29" t="str">
        <f>VLOOKUP($AF29,raw!$A$1:$CA$193,F$2,FALSE)</f>
        <v>Medford</v>
      </c>
      <c r="G29" s="30" t="str">
        <f>VLOOKUP($AF29,raw!$A$1:$CA$193,G$2,FALSE)</f>
        <v>MA</v>
      </c>
      <c r="H29" s="34" t="str">
        <f>VLOOKUP($AF29,raw!$A$1:$CA$193,H$2,FALSE)</f>
        <v>Suburb: Large</v>
      </c>
      <c r="I29" s="57" t="str">
        <f>CONCATENATE(VLOOKUP($AF29,raw!$A$1:$BZ$193,I$2,FALSE)," - ",VLOOKUP($AF29,raw!$A$1:$BZ$193,I$2+2,FALSE))</f>
        <v>710 - 760</v>
      </c>
      <c r="J29" s="58" t="str">
        <f>CONCATENATE(VLOOKUP($AF29,raw!$A$1:$BZ$193,J$2,FALSE)," - ",VLOOKUP($AF29,raw!$A$1:$BZ$193,J$2+2,FALSE))</f>
        <v>750 - 790</v>
      </c>
      <c r="K29" s="53">
        <f>VLOOKUP($AF29,raw!$A$1:$BZ$193,K$2,FALSE)</f>
        <v>34003</v>
      </c>
      <c r="L29" s="50">
        <f>VLOOKUP($AF29,raw!$A$1:$BZ$193,L$2,FALSE)</f>
        <v>3444</v>
      </c>
      <c r="M29" s="65">
        <f>VLOOKUP($AF29,raw!$A$1:$BZ$193,M$2,FALSE)/100</f>
        <v>0.1</v>
      </c>
      <c r="N29" s="62">
        <f>VLOOKUP($AF29,raw!$A$1:$BZ$193,N$2,FALSE)/K29</f>
        <v>0.40843454989265654</v>
      </c>
      <c r="O29" s="79">
        <f>IF(N29&gt;0,(VLOOKUP($AF29,raw!$A$1:$BZ$193,O$2,FALSE)/(L29*N29)-0),1)</f>
        <v>1.0066480073540036</v>
      </c>
      <c r="P29" s="80">
        <f>VLOOKUP($AF29,raw!$A$1:$BZ$193,P$2,FALSE)/K29</f>
        <v>0.5469517395523924</v>
      </c>
      <c r="Q29" s="79">
        <f>IF(P29&gt;0,(VLOOKUP($AF29,raw!$A$1:$BZ$193,Q$2,FALSE)/(L29*P29)-0),1)</f>
        <v>1.0113065714982654</v>
      </c>
      <c r="R29" s="50">
        <f>VLOOKUP($AF29,raw!$A$1:$BZ$193,R$2,FALSE)</f>
        <v>1739</v>
      </c>
      <c r="S29" s="40" t="str">
        <f t="shared" si="0"/>
        <v>m</v>
      </c>
      <c r="T29" s="57"/>
      <c r="U29" s="34"/>
      <c r="V29" s="110" t="s">
        <v>445</v>
      </c>
      <c r="W29" s="102">
        <v>1</v>
      </c>
      <c r="X29" s="105">
        <v>1</v>
      </c>
      <c r="Y29" s="75" t="str">
        <f>IF(ISERROR(VLOOKUP($A29,deadlines!$B$2:$H$52,Y$1,FALSE)),"dk",IF(ISERROR(VLOOKUP($A29,deadlines!$B$2:$H$52,Y$1,FALSE)+1),"","Y"))</f>
        <v>Y</v>
      </c>
      <c r="Z29" s="75" t="str">
        <f>IF(ISERROR(VLOOKUP($A29,deadlines!$B$2:$H$52,Z$1,FALSE)),"dk",IF(ISERROR(VLOOKUP($A29,deadlines!$B$2:$H$52,Z$1,FALSE)+1),"","Y"))</f>
        <v>Y</v>
      </c>
      <c r="AA29" s="75" t="str">
        <f>IF(ISERROR(VLOOKUP($A29,deadlines!$B$2:$H$52,AA$1,FALSE)),"dk",IF(ISERROR(VLOOKUP($A29,deadlines!$B$2:$H$52,AA$1,FALSE)+1),"","Y"))</f>
        <v/>
      </c>
      <c r="AB29" s="95" t="str">
        <f>IF(ISERROR(VLOOKUP($A29,deadlines!$B$2:$H$52,AB$1,FALSE)),"",VLOOKUP($A29,deadlines!$B$2:$H$52,AB$1,FALSE))</f>
        <v>n/a</v>
      </c>
      <c r="AC29" s="28"/>
      <c r="AD29" s="30"/>
      <c r="AE29" s="29"/>
      <c r="AF29" s="102">
        <v>168148</v>
      </c>
      <c r="AG29" s="29">
        <v>61</v>
      </c>
    </row>
    <row r="30" spans="1:33" x14ac:dyDescent="0.35">
      <c r="A30" s="29" t="str">
        <f>VLOOKUP($AF30,raw!$A$1:$CA$193,61,FALSE)</f>
        <v>Middlebury College</v>
      </c>
      <c r="B30" s="136"/>
      <c r="C30" s="136"/>
      <c r="D30" s="137"/>
      <c r="E30" s="137"/>
      <c r="F30" s="73" t="str">
        <f>VLOOKUP($AF30,raw!$A$1:$CA$193,F$2,FALSE)</f>
        <v>Middlebury</v>
      </c>
      <c r="G30" s="45" t="str">
        <f>VLOOKUP($AF30,raw!$A$1:$CA$193,G$2,FALSE)</f>
        <v>VT</v>
      </c>
      <c r="H30" s="73" t="str">
        <f>VLOOKUP($AF30,raw!$A$1:$CA$193,H$2,FALSE)</f>
        <v>Town: Distant</v>
      </c>
      <c r="I30" s="59" t="str">
        <f>CONCATENATE(VLOOKUP($AF30,raw!$A$1:$BZ$193,I$2,FALSE)," - ",VLOOKUP($AF30,raw!$A$1:$BZ$193,I$2+2,FALSE))</f>
        <v>720 - 770</v>
      </c>
      <c r="J30" s="60" t="str">
        <f>CONCATENATE(VLOOKUP($AF30,raw!$A$1:$BZ$193,J$2,FALSE)," - ",VLOOKUP($AF30,raw!$A$1:$BZ$193,J$2+2,FALSE))</f>
        <v>710 - 780</v>
      </c>
      <c r="K30" s="54">
        <f>VLOOKUP($AF30,raw!$A$1:$BZ$193,K$2,FALSE)</f>
        <v>13297</v>
      </c>
      <c r="L30" s="51">
        <f>VLOOKUP($AF30,raw!$A$1:$BZ$193,L$2,FALSE)</f>
        <v>1379</v>
      </c>
      <c r="M30" s="66">
        <f>VLOOKUP($AF30,raw!$A$1:$BZ$193,M$2,FALSE)/100</f>
        <v>0.1</v>
      </c>
      <c r="N30" s="63">
        <f>VLOOKUP($AF30,raw!$A$1:$BZ$193,N$2,FALSE)/K30</f>
        <v>0.41919229901481536</v>
      </c>
      <c r="O30" s="77">
        <f>IF(N30&gt;0,(VLOOKUP($AF30,raw!$A$1:$BZ$193,O$2,FALSE)/(L30*N30)-0),1)</f>
        <v>0.98431636264194611</v>
      </c>
      <c r="P30" s="36">
        <f>VLOOKUP($AF30,raw!$A$1:$BZ$193,P$2,FALSE)/K30</f>
        <v>0.58073249605174104</v>
      </c>
      <c r="Q30" s="77">
        <f>IF(P30&gt;0,(VLOOKUP($AF30,raw!$A$1:$BZ$193,Q$2,FALSE)/(L30*P30)-0),1)</f>
        <v>1.0102017741611649</v>
      </c>
      <c r="R30" s="51">
        <f>VLOOKUP($AF30,raw!$A$1:$BZ$193,R$2,FALSE)</f>
        <v>615</v>
      </c>
      <c r="S30" s="48" t="str">
        <f t="shared" si="0"/>
        <v>s</v>
      </c>
      <c r="T30" s="91"/>
      <c r="U30" s="73"/>
      <c r="V30" s="110" t="s">
        <v>445</v>
      </c>
      <c r="W30" s="104">
        <v>1</v>
      </c>
      <c r="X30" s="104"/>
      <c r="Y30" s="73" t="str">
        <f>IF(ISERROR(VLOOKUP($A30,deadlines!$B$2:$H$52,Y$1,FALSE)),"dk",IF(ISERROR(VLOOKUP($A30,deadlines!$B$2:$H$52,Y$1,FALSE)+1),"","Y"))</f>
        <v>Y</v>
      </c>
      <c r="Z30" s="73" t="str">
        <f>IF(ISERROR(VLOOKUP($A30,deadlines!$B$2:$H$52,Z$1,FALSE)),"dk",IF(ISERROR(VLOOKUP($A30,deadlines!$B$2:$H$52,Z$1,FALSE)+1),"","Y"))</f>
        <v>Y</v>
      </c>
      <c r="AA30" s="73" t="str">
        <f>IF(ISERROR(VLOOKUP($A30,deadlines!$B$2:$H$52,AA$1,FALSE)),"dk",IF(ISERROR(VLOOKUP($A30,deadlines!$B$2:$H$52,AA$1,FALSE)+1),"","Y"))</f>
        <v/>
      </c>
      <c r="AB30" s="47">
        <f>IF(ISERROR(VLOOKUP($A30,deadlines!$B$2:$H$52,AB$1,FALSE)),"",VLOOKUP($A30,deadlines!$B$2:$H$52,AB$1,FALSE))</f>
        <v>0.34</v>
      </c>
      <c r="AC30" s="44"/>
      <c r="AD30" s="45"/>
      <c r="AE30" s="73"/>
      <c r="AF30" s="104">
        <v>230959</v>
      </c>
      <c r="AG30" s="73">
        <v>43</v>
      </c>
    </row>
    <row r="31" spans="1:33" x14ac:dyDescent="0.35">
      <c r="A31" s="29" t="str">
        <f>VLOOKUP($AF31,raw!$A$1:$CA$193,61,FALSE)</f>
        <v>Carnegie Mellon University</v>
      </c>
      <c r="B31" s="136"/>
      <c r="C31" s="136"/>
      <c r="D31" s="137"/>
      <c r="E31" s="137"/>
      <c r="F31" s="29" t="str">
        <f>VLOOKUP($AF31,raw!$A$1:$CA$193,F$2,FALSE)</f>
        <v>Pittsburgh</v>
      </c>
      <c r="G31" s="30" t="str">
        <f>VLOOKUP($AF31,raw!$A$1:$CA$193,G$2,FALSE)</f>
        <v>PA</v>
      </c>
      <c r="H31" s="29" t="str">
        <f>VLOOKUP($AF31,raw!$A$1:$CA$193,H$2,FALSE)</f>
        <v>City: Large</v>
      </c>
      <c r="I31" s="57" t="str">
        <f>CONCATENATE(VLOOKUP($AF31,raw!$A$1:$BZ$193,I$2,FALSE)," - ",VLOOKUP($AF31,raw!$A$1:$BZ$193,I$2+2,FALSE))</f>
        <v>730 - 770</v>
      </c>
      <c r="J31" s="58" t="str">
        <f>CONCATENATE(VLOOKUP($AF31,raw!$A$1:$BZ$193,J$2,FALSE)," - ",VLOOKUP($AF31,raw!$A$1:$BZ$193,J$2+2,FALSE))</f>
        <v>770 - 800</v>
      </c>
      <c r="K31" s="53">
        <f>VLOOKUP($AF31,raw!$A$1:$BZ$193,K$2,FALSE)</f>
        <v>33707</v>
      </c>
      <c r="L31" s="50">
        <f>VLOOKUP($AF31,raw!$A$1:$BZ$193,L$2,FALSE)</f>
        <v>3843</v>
      </c>
      <c r="M31" s="65">
        <f>VLOOKUP($AF31,raw!$A$1:$BZ$193,M$2,FALSE)/100</f>
        <v>0.11</v>
      </c>
      <c r="N31" s="62">
        <f>VLOOKUP($AF31,raw!$A$1:$BZ$193,N$2,FALSE)/K31</f>
        <v>0.58314296733616167</v>
      </c>
      <c r="O31" s="77">
        <f>IF(N31&gt;0,(VLOOKUP($AF31,raw!$A$1:$BZ$193,O$2,FALSE)/(L31*N31)-0),1)</f>
        <v>0.80677605371854644</v>
      </c>
      <c r="P31" s="36">
        <f>VLOOKUP($AF31,raw!$A$1:$BZ$193,P$2,FALSE)/K31</f>
        <v>0.38131545376331327</v>
      </c>
      <c r="Q31" s="77">
        <f>IF(P31&gt;0,(VLOOKUP($AF31,raw!$A$1:$BZ$193,Q$2,FALSE)/(L31*P31)-0),1)</f>
        <v>1.2815654686060651</v>
      </c>
      <c r="R31" s="50">
        <f>VLOOKUP($AF31,raw!$A$1:$BZ$193,R$2,FALSE)</f>
        <v>1708</v>
      </c>
      <c r="S31" s="40" t="str">
        <f t="shared" si="0"/>
        <v>m</v>
      </c>
      <c r="T31" s="29"/>
      <c r="U31" s="29"/>
      <c r="V31" s="110"/>
      <c r="W31" s="105"/>
      <c r="X31" s="105"/>
      <c r="Y31" s="29" t="str">
        <f>IF(ISERROR(VLOOKUP($A31,deadlines!$B$2:$H$52,Y$1,FALSE)),"dk",IF(ISERROR(VLOOKUP($A31,deadlines!$B$2:$H$52,Y$1,FALSE)+1),"","Y"))</f>
        <v>dk</v>
      </c>
      <c r="Z31" s="29" t="str">
        <f>IF(ISERROR(VLOOKUP($A31,deadlines!$B$2:$H$52,Z$1,FALSE)),"dk",IF(ISERROR(VLOOKUP($A31,deadlines!$B$2:$H$52,Z$1,FALSE)+1),"","Y"))</f>
        <v>dk</v>
      </c>
      <c r="AA31" s="29" t="str">
        <f>IF(ISERROR(VLOOKUP($A31,deadlines!$B$2:$H$52,AA$1,FALSE)),"dk",IF(ISERROR(VLOOKUP($A31,deadlines!$B$2:$H$52,AA$1,FALSE)+1),"","Y"))</f>
        <v>dk</v>
      </c>
      <c r="AB31" s="36" t="str">
        <f>IF(ISERROR(VLOOKUP($A31,deadlines!$B$2:$H$52,AB$1,FALSE)),"",VLOOKUP($A31,deadlines!$B$2:$H$52,AB$1,FALSE))</f>
        <v/>
      </c>
      <c r="AC31" s="28"/>
      <c r="AD31" s="30"/>
      <c r="AE31" s="29"/>
      <c r="AF31" s="105">
        <v>211440</v>
      </c>
      <c r="AG31" s="29">
        <v>14</v>
      </c>
    </row>
    <row r="32" spans="1:33" x14ac:dyDescent="0.35">
      <c r="A32" s="29" t="str">
        <f>VLOOKUP($AF32,raw!$A$1:$CA$193,61,FALSE)</f>
        <v>Grinnell College</v>
      </c>
      <c r="B32" s="136"/>
      <c r="C32" s="136"/>
      <c r="D32" s="137"/>
      <c r="E32" s="137"/>
      <c r="F32" s="29" t="str">
        <f>VLOOKUP($AF32,raw!$A$1:$CA$193,F$2,FALSE)</f>
        <v>Grinnell</v>
      </c>
      <c r="G32" s="30" t="str">
        <f>VLOOKUP($AF32,raw!$A$1:$CA$193,G$2,FALSE)</f>
        <v>IA</v>
      </c>
      <c r="H32" s="29" t="str">
        <f>VLOOKUP($AF32,raw!$A$1:$CA$193,H$2,FALSE)</f>
        <v>Town: Remote</v>
      </c>
      <c r="I32" s="57" t="str">
        <f>CONCATENATE(VLOOKUP($AF32,raw!$A$1:$BZ$193,I$2,FALSE)," - ",VLOOKUP($AF32,raw!$A$1:$BZ$193,I$2+2,FALSE))</f>
        <v>698 - 760</v>
      </c>
      <c r="J32" s="58" t="str">
        <f>CONCATENATE(VLOOKUP($AF32,raw!$A$1:$BZ$193,J$2,FALSE)," - ",VLOOKUP($AF32,raw!$A$1:$BZ$193,J$2+2,FALSE))</f>
        <v>720 - 790</v>
      </c>
      <c r="K32" s="53">
        <f>VLOOKUP($AF32,raw!$A$1:$BZ$193,K$2,FALSE)</f>
        <v>9988</v>
      </c>
      <c r="L32" s="50">
        <f>VLOOKUP($AF32,raw!$A$1:$BZ$193,L$2,FALSE)</f>
        <v>1266</v>
      </c>
      <c r="M32" s="65">
        <f>VLOOKUP($AF32,raw!$A$1:$BZ$193,M$2,FALSE)/100</f>
        <v>0.13</v>
      </c>
      <c r="N32" s="62">
        <f>VLOOKUP($AF32,raw!$A$1:$BZ$193,N$2,FALSE)/K32</f>
        <v>0.4827793352022427</v>
      </c>
      <c r="O32" s="77">
        <f>IF(N32&gt;0,(VLOOKUP($AF32,raw!$A$1:$BZ$193,O$2,FALSE)/(L32*N32)-0),1)</f>
        <v>0.87205691659409901</v>
      </c>
      <c r="P32" s="36">
        <f>VLOOKUP($AF32,raw!$A$1:$BZ$193,P$2,FALSE)/K32</f>
        <v>0.48458149779735682</v>
      </c>
      <c r="Q32" s="77">
        <f>IF(P32&gt;0,(VLOOKUP($AF32,raw!$A$1:$BZ$193,Q$2,FALSE)/(L32*P32)-0),1)</f>
        <v>1.1019100962228925</v>
      </c>
      <c r="R32" s="50">
        <f>VLOOKUP($AF32,raw!$A$1:$BZ$193,R$2,FALSE)</f>
        <v>457</v>
      </c>
      <c r="S32" s="40" t="str">
        <f t="shared" si="0"/>
        <v>s</v>
      </c>
      <c r="T32" s="75"/>
      <c r="U32" s="29"/>
      <c r="V32" s="110"/>
      <c r="W32" s="105"/>
      <c r="X32" s="105"/>
      <c r="Y32" s="29" t="str">
        <f>IF(ISERROR(VLOOKUP($A32,deadlines!$B$2:$H$52,Y$1,FALSE)),"dk",IF(ISERROR(VLOOKUP($A32,deadlines!$B$2:$H$52,Y$1,FALSE)+1),"","Y"))</f>
        <v>Y</v>
      </c>
      <c r="Z32" s="29" t="str">
        <f>IF(ISERROR(VLOOKUP($A32,deadlines!$B$2:$H$52,Z$1,FALSE)),"dk",IF(ISERROR(VLOOKUP($A32,deadlines!$B$2:$H$52,Z$1,FALSE)+1),"","Y"))</f>
        <v>Y</v>
      </c>
      <c r="AA32" s="29" t="str">
        <f>IF(ISERROR(VLOOKUP($A32,deadlines!$B$2:$H$52,AA$1,FALSE)),"dk",IF(ISERROR(VLOOKUP($A32,deadlines!$B$2:$H$52,AA$1,FALSE)+1),"","Y"))</f>
        <v>Y</v>
      </c>
      <c r="AB32" s="36">
        <f>IF(ISERROR(VLOOKUP($A32,deadlines!$B$2:$H$52,AB$1,FALSE)),"",VLOOKUP($A32,deadlines!$B$2:$H$52,AB$1,FALSE))</f>
        <v>0.34</v>
      </c>
      <c r="AC32" s="28"/>
      <c r="AD32" s="30"/>
      <c r="AE32" s="29"/>
      <c r="AF32" s="105">
        <v>153384</v>
      </c>
      <c r="AG32" s="29">
        <v>100</v>
      </c>
    </row>
    <row r="33" spans="1:33" x14ac:dyDescent="0.35">
      <c r="A33" s="29" t="str">
        <f>VLOOKUP($AF33,raw!$A$1:$CA$193,61,FALSE)</f>
        <v>Emory University</v>
      </c>
      <c r="B33" s="136"/>
      <c r="C33" s="136"/>
      <c r="D33" s="137"/>
      <c r="E33" s="137"/>
      <c r="F33" s="29" t="str">
        <f>VLOOKUP($AF33,raw!$A$1:$CA$193,F$2,FALSE)</f>
        <v>Atlanta</v>
      </c>
      <c r="G33" s="30" t="str">
        <f>VLOOKUP($AF33,raw!$A$1:$CA$193,G$2,FALSE)</f>
        <v>GA</v>
      </c>
      <c r="H33" s="29" t="str">
        <f>VLOOKUP($AF33,raw!$A$1:$CA$193,H$2,FALSE)</f>
        <v>City: Large</v>
      </c>
      <c r="I33" s="57" t="str">
        <f>CONCATENATE(VLOOKUP($AF33,raw!$A$1:$BZ$193,I$2,FALSE)," - ",VLOOKUP($AF33,raw!$A$1:$BZ$193,I$2+2,FALSE))</f>
        <v>710 - 760</v>
      </c>
      <c r="J33" s="58" t="str">
        <f>CONCATENATE(VLOOKUP($AF33,raw!$A$1:$BZ$193,J$2,FALSE)," - ",VLOOKUP($AF33,raw!$A$1:$BZ$193,J$2+2,FALSE))</f>
        <v>750 - 790</v>
      </c>
      <c r="K33" s="53">
        <f>VLOOKUP($AF33,raw!$A$1:$BZ$193,K$2,FALSE)</f>
        <v>31929</v>
      </c>
      <c r="L33" s="50">
        <f>VLOOKUP($AF33,raw!$A$1:$BZ$193,L$2,FALSE)</f>
        <v>3543</v>
      </c>
      <c r="M33" s="65">
        <f>VLOOKUP($AF33,raw!$A$1:$BZ$193,M$2,FALSE)/100</f>
        <v>0.11</v>
      </c>
      <c r="N33" s="62">
        <f>VLOOKUP($AF33,raw!$A$1:$BZ$193,N$2,FALSE)/K33</f>
        <v>0.39531460427824233</v>
      </c>
      <c r="O33" s="77">
        <f>IF(N33&gt;0,(VLOOKUP($AF33,raw!$A$1:$BZ$193,O$2,FALSE)/(L33*N33)-0),1)</f>
        <v>1.1323721293050277</v>
      </c>
      <c r="P33" s="36">
        <f>VLOOKUP($AF33,raw!$A$1:$BZ$193,P$2,FALSE)/K33</f>
        <v>0.60468539572175761</v>
      </c>
      <c r="Q33" s="77">
        <f>IF(P33&gt;0,(VLOOKUP($AF33,raw!$A$1:$BZ$193,Q$2,FALSE)/(L33*P33)-0),1)</f>
        <v>0.91346138622841144</v>
      </c>
      <c r="R33" s="50">
        <f>VLOOKUP($AF33,raw!$A$1:$BZ$193,R$2,FALSE)</f>
        <v>1425</v>
      </c>
      <c r="S33" s="40" t="str">
        <f t="shared" si="0"/>
        <v>m</v>
      </c>
      <c r="T33" s="29"/>
      <c r="U33" s="29"/>
      <c r="V33" s="110" t="s">
        <v>445</v>
      </c>
      <c r="W33" s="105">
        <v>1</v>
      </c>
      <c r="X33" s="105">
        <v>1</v>
      </c>
      <c r="Y33" s="75" t="str">
        <f>IF(ISERROR(VLOOKUP($A33,deadlines!$B$2:$H$52,Y$1,FALSE)),"dk",IF(ISERROR(VLOOKUP($A33,deadlines!$B$2:$H$52,Y$1,FALSE)+1),"","Y"))</f>
        <v>Y</v>
      </c>
      <c r="Z33" s="75" t="str">
        <f>IF(ISERROR(VLOOKUP($A33,deadlines!$B$2:$H$52,Z$1,FALSE)),"dk",IF(ISERROR(VLOOKUP($A33,deadlines!$B$2:$H$52,Z$1,FALSE)+1),"","Y"))</f>
        <v>Y</v>
      </c>
      <c r="AA33" s="75" t="str">
        <f>IF(ISERROR(VLOOKUP($A33,deadlines!$B$2:$H$52,AA$1,FALSE)),"dk",IF(ISERROR(VLOOKUP($A33,deadlines!$B$2:$H$52,AA$1,FALSE)+1),"","Y"))</f>
        <v/>
      </c>
      <c r="AB33" s="36">
        <f>IF(ISERROR(VLOOKUP($A33,deadlines!$B$2:$H$52,AB$1,FALSE)),"",VLOOKUP($A33,deadlines!$B$2:$H$52,AB$1,FALSE))</f>
        <v>0.32</v>
      </c>
      <c r="AC33" s="28"/>
      <c r="AD33" s="30"/>
      <c r="AE33" s="29"/>
      <c r="AF33" s="105">
        <v>139658</v>
      </c>
      <c r="AG33" s="29">
        <v>28</v>
      </c>
    </row>
    <row r="34" spans="1:33" x14ac:dyDescent="0.35">
      <c r="A34" s="29" t="str">
        <f>VLOOKUP($AF34,raw!$A$1:$CA$193,61,FALSE)</f>
        <v>Boston University</v>
      </c>
      <c r="B34" s="136"/>
      <c r="C34" s="136"/>
      <c r="D34" s="137"/>
      <c r="E34" s="137"/>
      <c r="F34" s="29" t="str">
        <f>VLOOKUP($AF34,raw!$A$1:$CA$193,F$2,FALSE)</f>
        <v>Boston</v>
      </c>
      <c r="G34" s="30" t="str">
        <f>VLOOKUP($AF34,raw!$A$1:$CA$193,G$2,FALSE)</f>
        <v>MA</v>
      </c>
      <c r="H34" s="29" t="str">
        <f>VLOOKUP($AF34,raw!$A$1:$CA$193,H$2,FALSE)</f>
        <v>City: Large</v>
      </c>
      <c r="I34" s="57" t="str">
        <f>CONCATENATE(VLOOKUP($AF34,raw!$A$1:$BZ$193,I$2,FALSE)," - ",VLOOKUP($AF34,raw!$A$1:$BZ$193,I$2+2,FALSE))</f>
        <v>680 - 740</v>
      </c>
      <c r="J34" s="58" t="str">
        <f>CONCATENATE(VLOOKUP($AF34,raw!$A$1:$BZ$193,J$2,FALSE)," - ",VLOOKUP($AF34,raw!$A$1:$BZ$193,J$2+2,FALSE))</f>
        <v>720 - 780</v>
      </c>
      <c r="K34" s="53">
        <f>VLOOKUP($AF34,raw!$A$1:$BZ$193,K$2,FALSE)</f>
        <v>80495</v>
      </c>
      <c r="L34" s="50">
        <f>VLOOKUP($AF34,raw!$A$1:$BZ$193,L$2,FALSE)</f>
        <v>8733</v>
      </c>
      <c r="M34" s="65">
        <f>VLOOKUP($AF34,raw!$A$1:$BZ$193,M$2,FALSE)/100</f>
        <v>0.11</v>
      </c>
      <c r="N34" s="62">
        <f>VLOOKUP($AF34,raw!$A$1:$BZ$193,N$2,FALSE)/K34</f>
        <v>0.39972669109882603</v>
      </c>
      <c r="O34" s="77">
        <f>IF(N34&gt;0,(VLOOKUP($AF34,raw!$A$1:$BZ$193,O$2,FALSE)/(L34*N34)-0),1)</f>
        <v>1.1189369879267601</v>
      </c>
      <c r="P34" s="36">
        <f>VLOOKUP($AF34,raw!$A$1:$BZ$193,P$2,FALSE)/K34</f>
        <v>0.60021119324181627</v>
      </c>
      <c r="Q34" s="77">
        <f>IF(P34&gt;0,(VLOOKUP($AF34,raw!$A$1:$BZ$193,Q$2,FALSE)/(L34*P34)-0),1)</f>
        <v>0.92089422271947197</v>
      </c>
      <c r="R34" s="50">
        <f>VLOOKUP($AF34,raw!$A$1:$BZ$193,R$2,FALSE)</f>
        <v>3145</v>
      </c>
      <c r="S34" s="40" t="str">
        <f t="shared" si="0"/>
        <v>l</v>
      </c>
      <c r="T34" s="29"/>
      <c r="U34" s="29"/>
      <c r="V34" s="110" t="s">
        <v>425</v>
      </c>
      <c r="W34" s="105">
        <v>1</v>
      </c>
      <c r="X34" s="105"/>
      <c r="Y34" s="29" t="str">
        <f>IF(ISERROR(VLOOKUP($A34,deadlines!$B$2:$H$52,Y$1,FALSE)),"dk",IF(ISERROR(VLOOKUP($A34,deadlines!$B$2:$H$52,Y$1,FALSE)+1),"","Y"))</f>
        <v>dk</v>
      </c>
      <c r="Z34" s="29" t="str">
        <f>IF(ISERROR(VLOOKUP($A34,deadlines!$B$2:$H$52,Z$1,FALSE)),"dk",IF(ISERROR(VLOOKUP($A34,deadlines!$B$2:$H$52,Z$1,FALSE)+1),"","Y"))</f>
        <v>dk</v>
      </c>
      <c r="AA34" s="29" t="str">
        <f>IF(ISERROR(VLOOKUP($A34,deadlines!$B$2:$H$52,AA$1,FALSE)),"dk",IF(ISERROR(VLOOKUP($A34,deadlines!$B$2:$H$52,AA$1,FALSE)+1),"","Y"))</f>
        <v>dk</v>
      </c>
      <c r="AB34" s="36" t="str">
        <f>IF(ISERROR(VLOOKUP($A34,deadlines!$B$2:$H$52,AB$1,FALSE)),"",VLOOKUP($A34,deadlines!$B$2:$H$52,AB$1,FALSE))</f>
        <v/>
      </c>
      <c r="AC34" s="28"/>
      <c r="AD34" s="30"/>
      <c r="AE34" s="29"/>
      <c r="AF34" s="105">
        <v>164988</v>
      </c>
      <c r="AG34" s="29">
        <v>7</v>
      </c>
    </row>
    <row r="35" spans="1:33" x14ac:dyDescent="0.35">
      <c r="A35" s="29" t="str">
        <f>VLOOKUP($AF35,raw!$A$1:$CA$193,61,FALSE)</f>
        <v>Hamilton College</v>
      </c>
      <c r="B35" s="136"/>
      <c r="C35" s="136"/>
      <c r="D35" s="137"/>
      <c r="E35" s="137"/>
      <c r="F35" s="29" t="str">
        <f>VLOOKUP($AF35,raw!$A$1:$CA$193,F$2,FALSE)</f>
        <v>Clinton</v>
      </c>
      <c r="G35" s="30" t="str">
        <f>VLOOKUP($AF35,raw!$A$1:$CA$193,G$2,FALSE)</f>
        <v>NY</v>
      </c>
      <c r="H35" s="29" t="str">
        <f>VLOOKUP($AF35,raw!$A$1:$CA$193,H$2,FALSE)</f>
        <v>Suburb: Midsize</v>
      </c>
      <c r="I35" s="57" t="str">
        <f>CONCATENATE(VLOOKUP($AF35,raw!$A$1:$BZ$193,I$2,FALSE)," - ",VLOOKUP($AF35,raw!$A$1:$BZ$193,I$2+2,FALSE))</f>
        <v>700 - 770</v>
      </c>
      <c r="J35" s="58" t="str">
        <f>CONCATENATE(VLOOKUP($AF35,raw!$A$1:$BZ$193,J$2,FALSE)," - ",VLOOKUP($AF35,raw!$A$1:$BZ$193,J$2+2,FALSE))</f>
        <v>710 - 780</v>
      </c>
      <c r="K35" s="53">
        <f>VLOOKUP($AF35,raw!$A$1:$BZ$193,K$2,FALSE)</f>
        <v>9643</v>
      </c>
      <c r="L35" s="50">
        <f>VLOOKUP($AF35,raw!$A$1:$BZ$193,L$2,FALSE)</f>
        <v>1135</v>
      </c>
      <c r="M35" s="65">
        <f>VLOOKUP($AF35,raw!$A$1:$BZ$193,M$2,FALSE)/100</f>
        <v>0.12</v>
      </c>
      <c r="N35" s="62">
        <f>VLOOKUP($AF35,raw!$A$1:$BZ$193,N$2,FALSE)/K35</f>
        <v>0.44197863735352066</v>
      </c>
      <c r="O35" s="77">
        <f>IF(N35&gt;0,(VLOOKUP($AF35,raw!$A$1:$BZ$193,O$2,FALSE)/(L35*N35)-0),1)</f>
        <v>1.0545290105987346</v>
      </c>
      <c r="P35" s="36">
        <f>VLOOKUP($AF35,raw!$A$1:$BZ$193,P$2,FALSE)/K35</f>
        <v>0.52089598672612258</v>
      </c>
      <c r="Q35" s="77">
        <f>IF(P35&gt;0,(VLOOKUP($AF35,raw!$A$1:$BZ$193,Q$2,FALSE)/(L35*P35)-0),1)</f>
        <v>0.99117592115914366</v>
      </c>
      <c r="R35" s="50">
        <f>VLOOKUP($AF35,raw!$A$1:$BZ$193,R$2,FALSE)</f>
        <v>462</v>
      </c>
      <c r="S35" s="40" t="str">
        <f t="shared" si="0"/>
        <v>s</v>
      </c>
      <c r="T35" s="75"/>
      <c r="U35" s="29"/>
      <c r="V35" s="110" t="s">
        <v>445</v>
      </c>
      <c r="W35" s="105">
        <v>1</v>
      </c>
      <c r="X35" s="105"/>
      <c r="Y35" s="29" t="str">
        <f>IF(ISERROR(VLOOKUP($A35,deadlines!$B$2:$H$52,Y$1,FALSE)),"dk",IF(ISERROR(VLOOKUP($A35,deadlines!$B$2:$H$52,Y$1,FALSE)+1),"","Y"))</f>
        <v>dk</v>
      </c>
      <c r="Z35" s="29" t="str">
        <f>IF(ISERROR(VLOOKUP($A35,deadlines!$B$2:$H$52,Z$1,FALSE)),"dk",IF(ISERROR(VLOOKUP($A35,deadlines!$B$2:$H$52,Z$1,FALSE)+1),"","Y"))</f>
        <v>dk</v>
      </c>
      <c r="AA35" s="29" t="str">
        <f>IF(ISERROR(VLOOKUP($A35,deadlines!$B$2:$H$52,AA$1,FALSE)),"dk",IF(ISERROR(VLOOKUP($A35,deadlines!$B$2:$H$52,AA$1,FALSE)+1),"","Y"))</f>
        <v>dk</v>
      </c>
      <c r="AB35" s="95" t="str">
        <f>IF(ISERROR(VLOOKUP($A35,deadlines!$B$2:$H$52,AB$1,FALSE)),"",VLOOKUP($A35,deadlines!$B$2:$H$52,AB$1,FALSE))</f>
        <v/>
      </c>
      <c r="AC35" s="28"/>
      <c r="AD35" s="30"/>
      <c r="AE35" s="29"/>
      <c r="AF35" s="105">
        <v>191515</v>
      </c>
      <c r="AG35" s="29">
        <v>31</v>
      </c>
    </row>
    <row r="36" spans="1:33" x14ac:dyDescent="0.35">
      <c r="A36" s="29" t="str">
        <f>VLOOKUP($AF36,raw!$A$1:$CA$193,61,FALSE)</f>
        <v>Colgate University</v>
      </c>
      <c r="B36" s="136"/>
      <c r="C36" s="136"/>
      <c r="D36" s="137"/>
      <c r="E36" s="137"/>
      <c r="F36" s="29" t="str">
        <f>VLOOKUP($AF36,raw!$A$1:$CA$193,F$2,FALSE)</f>
        <v>Hamilton</v>
      </c>
      <c r="G36" s="30" t="str">
        <f>VLOOKUP($AF36,raw!$A$1:$CA$193,G$2,FALSE)</f>
        <v>NY</v>
      </c>
      <c r="H36" s="29" t="str">
        <f>VLOOKUP($AF36,raw!$A$1:$CA$193,H$2,FALSE)</f>
        <v>Rural: Distant</v>
      </c>
      <c r="I36" s="57" t="str">
        <f>CONCATENATE(VLOOKUP($AF36,raw!$A$1:$BZ$193,I$2,FALSE)," - ",VLOOKUP($AF36,raw!$A$1:$BZ$193,I$2+2,FALSE))</f>
        <v>710 - 750</v>
      </c>
      <c r="J36" s="58" t="str">
        <f>CONCATENATE(VLOOKUP($AF36,raw!$A$1:$BZ$193,J$2,FALSE)," - ",VLOOKUP($AF36,raw!$A$1:$BZ$193,J$2+2,FALSE))</f>
        <v>720 - 780</v>
      </c>
      <c r="K36" s="53">
        <f>VLOOKUP($AF36,raw!$A$1:$BZ$193,K$2,FALSE)</f>
        <v>21130</v>
      </c>
      <c r="L36" s="50">
        <f>VLOOKUP($AF36,raw!$A$1:$BZ$193,L$2,FALSE)</f>
        <v>2526</v>
      </c>
      <c r="M36" s="65">
        <f>VLOOKUP($AF36,raw!$A$1:$BZ$193,M$2,FALSE)/100</f>
        <v>0.12</v>
      </c>
      <c r="N36" s="62">
        <f>VLOOKUP($AF36,raw!$A$1:$BZ$193,N$2,FALSE)/K36</f>
        <v>0.46280170373876006</v>
      </c>
      <c r="O36" s="77">
        <f>IF(N36&gt;0,(VLOOKUP($AF36,raw!$A$1:$BZ$193,O$2,FALSE)/(L36*N36)-0),1)</f>
        <v>0.91015075285746916</v>
      </c>
      <c r="P36" s="36">
        <f>VLOOKUP($AF36,raw!$A$1:$BZ$193,P$2,FALSE)/K36</f>
        <v>0.53719829626123994</v>
      </c>
      <c r="Q36" s="77">
        <f>IF(P36&gt;0,(VLOOKUP($AF36,raw!$A$1:$BZ$193,Q$2,FALSE)/(L36*P36)-0),1)</f>
        <v>1.0774060248266064</v>
      </c>
      <c r="R36" s="50">
        <f>VLOOKUP($AF36,raw!$A$1:$BZ$193,R$2,FALSE)</f>
        <v>807</v>
      </c>
      <c r="S36" s="40" t="str">
        <f t="shared" ref="S36:S67" si="1">VLOOKUP(R36,$AK$5:$AL$8,2,TRUE)</f>
        <v>s</v>
      </c>
      <c r="T36" s="75"/>
      <c r="U36" s="29"/>
      <c r="V36" s="110" t="s">
        <v>445</v>
      </c>
      <c r="W36" s="105">
        <v>1</v>
      </c>
      <c r="X36" s="105"/>
      <c r="Y36" s="29" t="str">
        <f>IF(ISERROR(VLOOKUP($A36,deadlines!$B$2:$H$52,Y$1,FALSE)),"dk",IF(ISERROR(VLOOKUP($A36,deadlines!$B$2:$H$52,Y$1,FALSE)+1),"","Y"))</f>
        <v>dk</v>
      </c>
      <c r="Z36" s="29" t="str">
        <f>IF(ISERROR(VLOOKUP($A36,deadlines!$B$2:$H$52,Z$1,FALSE)),"dk",IF(ISERROR(VLOOKUP($A36,deadlines!$B$2:$H$52,Z$1,FALSE)+1),"","Y"))</f>
        <v>dk</v>
      </c>
      <c r="AA36" s="29" t="str">
        <f>IF(ISERROR(VLOOKUP($A36,deadlines!$B$2:$H$52,AA$1,FALSE)),"dk",IF(ISERROR(VLOOKUP($A36,deadlines!$B$2:$H$52,AA$1,FALSE)+1),"","Y"))</f>
        <v>dk</v>
      </c>
      <c r="AB36" s="36" t="str">
        <f>IF(ISERROR(VLOOKUP($A36,deadlines!$B$2:$H$52,AB$1,FALSE)),"",VLOOKUP($A36,deadlines!$B$2:$H$52,AB$1,FALSE))</f>
        <v/>
      </c>
      <c r="AC36" s="28"/>
      <c r="AD36" s="30"/>
      <c r="AE36" s="29"/>
      <c r="AF36" s="105">
        <v>190099</v>
      </c>
      <c r="AG36" s="29">
        <v>18</v>
      </c>
    </row>
    <row r="37" spans="1:33" x14ac:dyDescent="0.35">
      <c r="A37" s="29" t="str">
        <f>VLOOKUP($AF37,raw!$A$1:$CA$193,61,FALSE)</f>
        <v>Washington University in St Louis</v>
      </c>
      <c r="B37" s="136"/>
      <c r="C37" s="136"/>
      <c r="D37" s="137"/>
      <c r="E37" s="137"/>
      <c r="F37" s="29" t="str">
        <f>VLOOKUP($AF37,raw!$A$1:$CA$193,F$2,FALSE)</f>
        <v>Saint Louis</v>
      </c>
      <c r="G37" s="30" t="str">
        <f>VLOOKUP($AF37,raw!$A$1:$CA$193,G$2,FALSE)</f>
        <v>MO</v>
      </c>
      <c r="H37" s="29" t="str">
        <f>VLOOKUP($AF37,raw!$A$1:$CA$193,H$2,FALSE)</f>
        <v>Suburb: Large</v>
      </c>
      <c r="I37" s="57" t="str">
        <f>CONCATENATE(VLOOKUP($AF37,raw!$A$1:$BZ$193,I$2,FALSE)," - ",VLOOKUP($AF37,raw!$A$1:$BZ$193,I$2+2,FALSE))</f>
        <v>730 - 770</v>
      </c>
      <c r="J37" s="58" t="str">
        <f>CONCATENATE(VLOOKUP($AF37,raw!$A$1:$BZ$193,J$2,FALSE)," - ",VLOOKUP($AF37,raw!$A$1:$BZ$193,J$2+2,FALSE))</f>
        <v>770 - 800</v>
      </c>
      <c r="K37" s="53">
        <f>VLOOKUP($AF37,raw!$A$1:$BZ$193,K$2,FALSE)</f>
        <v>32240</v>
      </c>
      <c r="L37" s="50">
        <f>VLOOKUP($AF37,raw!$A$1:$BZ$193,L$2,FALSE)</f>
        <v>3855</v>
      </c>
      <c r="M37" s="65">
        <f>VLOOKUP($AF37,raw!$A$1:$BZ$193,M$2,FALSE)/100</f>
        <v>0.12</v>
      </c>
      <c r="N37" s="62">
        <f>VLOOKUP($AF37,raw!$A$1:$BZ$193,N$2,FALSE)/K37</f>
        <v>0.47165012406947893</v>
      </c>
      <c r="O37" s="77">
        <f>IF(N37&gt;0,(VLOOKUP($AF37,raw!$A$1:$BZ$193,O$2,FALSE)/(L37*N37)-0),1)</f>
        <v>1.0158335683248796</v>
      </c>
      <c r="P37" s="36">
        <f>VLOOKUP($AF37,raw!$A$1:$BZ$193,P$2,FALSE)/K37</f>
        <v>0.52834987593052107</v>
      </c>
      <c r="Q37" s="77">
        <f>IF(P37&gt;0,(VLOOKUP($AF37,raw!$A$1:$BZ$193,Q$2,FALSE)/(L37*P37)-0),1)</f>
        <v>0.98586560761135855</v>
      </c>
      <c r="R37" s="50">
        <f>VLOOKUP($AF37,raw!$A$1:$BZ$193,R$2,FALSE)</f>
        <v>1823</v>
      </c>
      <c r="S37" s="40" t="str">
        <f t="shared" si="1"/>
        <v>m</v>
      </c>
      <c r="T37" s="29"/>
      <c r="U37" s="29"/>
      <c r="V37" s="110" t="s">
        <v>445</v>
      </c>
      <c r="W37" s="105">
        <v>1</v>
      </c>
      <c r="X37" s="105"/>
      <c r="Y37" s="75" t="str">
        <f>IF(ISERROR(VLOOKUP($A37,deadlines!$B$2:$H$52,Y$1,FALSE)),"dk",IF(ISERROR(VLOOKUP($A37,deadlines!$B$2:$H$52,Y$1,FALSE)+1),"","Y"))</f>
        <v>dk</v>
      </c>
      <c r="Z37" s="75" t="str">
        <f>IF(ISERROR(VLOOKUP($A37,deadlines!$B$2:$H$52,Z$1,FALSE)),"dk",IF(ISERROR(VLOOKUP($A37,deadlines!$B$2:$H$52,Z$1,FALSE)+1),"","Y"))</f>
        <v>dk</v>
      </c>
      <c r="AA37" s="75" t="str">
        <f>IF(ISERROR(VLOOKUP($A37,deadlines!$B$2:$H$52,AA$1,FALSE)),"dk",IF(ISERROR(VLOOKUP($A37,deadlines!$B$2:$H$52,AA$1,FALSE)+1),"","Y"))</f>
        <v>dk</v>
      </c>
      <c r="AB37" s="36" t="str">
        <f>IF(ISERROR(VLOOKUP($A37,deadlines!$B$2:$H$52,AB$1,FALSE)),"",VLOOKUP($A37,deadlines!$B$2:$H$52,AB$1,FALSE))</f>
        <v/>
      </c>
      <c r="AC37" s="28"/>
      <c r="AD37" s="30"/>
      <c r="AE37" s="29"/>
      <c r="AF37" s="105">
        <v>179867</v>
      </c>
      <c r="AG37" s="29">
        <v>87</v>
      </c>
    </row>
    <row r="38" spans="1:33" x14ac:dyDescent="0.35">
      <c r="A38" s="29" t="str">
        <f>VLOOKUP($AF38,raw!$A$1:$CA$193,61,FALSE)</f>
        <v>University of California-Berkeley</v>
      </c>
      <c r="B38" s="136"/>
      <c r="C38" s="136"/>
      <c r="D38" s="137"/>
      <c r="E38" s="137"/>
      <c r="F38" s="29" t="str">
        <f>VLOOKUP($AF38,raw!$A$1:$CA$193,F$2,FALSE)</f>
        <v>Berkeley</v>
      </c>
      <c r="G38" s="30" t="str">
        <f>VLOOKUP($AF38,raw!$A$1:$CA$193,G$2,FALSE)</f>
        <v>CA</v>
      </c>
      <c r="H38" s="29" t="str">
        <f>VLOOKUP($AF38,raw!$A$1:$CA$193,H$2,FALSE)</f>
        <v>City: Midsize</v>
      </c>
      <c r="I38" s="57" t="str">
        <f>CONCATENATE(VLOOKUP($AF38,raw!$A$1:$BZ$193,I$2,FALSE)," - ",VLOOKUP($AF38,raw!$A$1:$BZ$193,I$2+2,FALSE))</f>
        <v xml:space="preserve"> - </v>
      </c>
      <c r="J38" s="58" t="str">
        <f>CONCATENATE(VLOOKUP($AF38,raw!$A$1:$BZ$193,J$2,FALSE)," - ",VLOOKUP($AF38,raw!$A$1:$BZ$193,J$2+2,FALSE))</f>
        <v xml:space="preserve"> - </v>
      </c>
      <c r="K38" s="53">
        <f>VLOOKUP($AF38,raw!$A$1:$BZ$193,K$2,FALSE)</f>
        <v>125910</v>
      </c>
      <c r="L38" s="50">
        <f>VLOOKUP($AF38,raw!$A$1:$BZ$193,L$2,FALSE)</f>
        <v>14677</v>
      </c>
      <c r="M38" s="65">
        <f>VLOOKUP($AF38,raw!$A$1:$BZ$193,M$2,FALSE)/100</f>
        <v>0.12</v>
      </c>
      <c r="N38" s="62">
        <f>VLOOKUP($AF38,raw!$A$1:$BZ$193,N$2,FALSE)/K38</f>
        <v>0.47837344134699389</v>
      </c>
      <c r="O38" s="77">
        <f>IF(N38&gt;0,(VLOOKUP($AF38,raw!$A$1:$BZ$193,O$2,FALSE)/(L38*N38)-0),1)</f>
        <v>0.78990617849721967</v>
      </c>
      <c r="P38" s="36">
        <f>VLOOKUP($AF38,raw!$A$1:$BZ$193,P$2,FALSE)/K38</f>
        <v>0.52162655865300611</v>
      </c>
      <c r="Q38" s="77">
        <f>IF(P38&gt;0,(VLOOKUP($AF38,raw!$A$1:$BZ$193,Q$2,FALSE)/(L38*P38)-0),1)</f>
        <v>1.192672905032971</v>
      </c>
      <c r="R38" s="50">
        <f>VLOOKUP($AF38,raw!$A$1:$BZ$193,R$2,FALSE)</f>
        <v>6604</v>
      </c>
      <c r="S38" s="40" t="str">
        <f t="shared" si="1"/>
        <v>l</v>
      </c>
      <c r="T38" s="29"/>
      <c r="U38" s="29"/>
      <c r="V38" s="110"/>
      <c r="W38" s="105">
        <v>1</v>
      </c>
      <c r="X38" s="105"/>
      <c r="Y38" s="29" t="str">
        <f>IF(ISERROR(VLOOKUP($A38,deadlines!$B$2:$H$52,Y$1,FALSE)),"dk",IF(ISERROR(VLOOKUP($A38,deadlines!$B$2:$H$52,Y$1,FALSE)+1),"","Y"))</f>
        <v>dk</v>
      </c>
      <c r="Z38" s="29" t="str">
        <f>IF(ISERROR(VLOOKUP($A38,deadlines!$B$2:$H$52,Z$1,FALSE)),"dk",IF(ISERROR(VLOOKUP($A38,deadlines!$B$2:$H$52,Z$1,FALSE)+1),"","Y"))</f>
        <v>dk</v>
      </c>
      <c r="AA38" s="29" t="str">
        <f>IF(ISERROR(VLOOKUP($A38,deadlines!$B$2:$H$52,AA$1,FALSE)),"dk",IF(ISERROR(VLOOKUP($A38,deadlines!$B$2:$H$52,AA$1,FALSE)+1),"","Y"))</f>
        <v>dk</v>
      </c>
      <c r="AB38" s="95" t="str">
        <f>IF(ISERROR(VLOOKUP($A38,deadlines!$B$2:$H$52,AB$1,FALSE)),"",VLOOKUP($A38,deadlines!$B$2:$H$52,AB$1,FALSE))</f>
        <v/>
      </c>
      <c r="AC38" s="28"/>
      <c r="AD38" s="30"/>
      <c r="AE38" s="29"/>
      <c r="AF38" s="105">
        <v>110635</v>
      </c>
      <c r="AG38" s="29">
        <v>65</v>
      </c>
    </row>
    <row r="39" spans="1:33" x14ac:dyDescent="0.35">
      <c r="A39" s="29" t="str">
        <f>VLOOKUP($AF39,raw!$A$1:$CA$193,61,FALSE)</f>
        <v>University of Southern California</v>
      </c>
      <c r="B39" s="136"/>
      <c r="C39" s="136"/>
      <c r="D39" s="137"/>
      <c r="E39" s="137"/>
      <c r="F39" s="74" t="str">
        <f>VLOOKUP($AF39,raw!$A$1:$CA$193,F$2,FALSE)</f>
        <v>Los Angeles</v>
      </c>
      <c r="G39" s="124" t="str">
        <f>VLOOKUP($AF39,raw!$A$1:$CA$193,G$2,FALSE)</f>
        <v>CA</v>
      </c>
      <c r="H39" s="74" t="str">
        <f>VLOOKUP($AF39,raw!$A$1:$CA$193,H$2,FALSE)</f>
        <v>City: Large</v>
      </c>
      <c r="I39" s="125" t="str">
        <f>CONCATENATE(VLOOKUP($AF39,raw!$A$1:$BZ$193,I$2,FALSE)," - ",VLOOKUP($AF39,raw!$A$1:$BZ$193,I$2+2,FALSE))</f>
        <v>700 - 760</v>
      </c>
      <c r="J39" s="126" t="str">
        <f>CONCATENATE(VLOOKUP($AF39,raw!$A$1:$BZ$193,J$2,FALSE)," - ",VLOOKUP($AF39,raw!$A$1:$BZ$193,J$2+2,FALSE))</f>
        <v>740 - 790</v>
      </c>
      <c r="K39" s="127">
        <f>VLOOKUP($AF39,raw!$A$1:$BZ$193,K$2,FALSE)</f>
        <v>80808</v>
      </c>
      <c r="L39" s="128">
        <f>VLOOKUP($AF39,raw!$A$1:$BZ$193,L$2,FALSE)</f>
        <v>8094</v>
      </c>
      <c r="M39" s="129">
        <f>VLOOKUP($AF39,raw!$A$1:$BZ$193,M$2,FALSE)/100</f>
        <v>0.1</v>
      </c>
      <c r="N39" s="130">
        <f>VLOOKUP($AF39,raw!$A$1:$BZ$193,N$2,FALSE)/K39</f>
        <v>0.44400306900306902</v>
      </c>
      <c r="O39" s="79">
        <f>IF(N39&gt;0,(VLOOKUP($AF39,raw!$A$1:$BZ$193,O$2,FALSE)/(L39*N39)-0),1)</f>
        <v>1.0818749974044835</v>
      </c>
      <c r="P39" s="80">
        <f>VLOOKUP($AF39,raw!$A$1:$BZ$193,P$2,FALSE)/K39</f>
        <v>0.54520592020592018</v>
      </c>
      <c r="Q39" s="79">
        <f>IF(P39&gt;0,(VLOOKUP($AF39,raw!$A$1:$BZ$193,Q$2,FALSE)/(L39*P39)-0),1)</f>
        <v>0.93136102259063858</v>
      </c>
      <c r="R39" s="128">
        <f>VLOOKUP($AF39,raw!$A$1:$BZ$193,R$2,FALSE)</f>
        <v>3630</v>
      </c>
      <c r="S39" s="131" t="str">
        <f t="shared" si="1"/>
        <v>l</v>
      </c>
      <c r="T39" s="74"/>
      <c r="U39" s="74"/>
      <c r="V39" s="132"/>
      <c r="W39" s="106"/>
      <c r="X39" s="106"/>
      <c r="Y39" s="74" t="str">
        <f>IF(ISERROR(VLOOKUP($A39,deadlines!$B$2:$H$52,Y$1,FALSE)),"dk",IF(ISERROR(VLOOKUP($A39,deadlines!$B$2:$H$52,Y$1,FALSE)+1),"","Y"))</f>
        <v>dk</v>
      </c>
      <c r="Z39" s="74" t="str">
        <f>IF(ISERROR(VLOOKUP($A39,deadlines!$B$2:$H$52,Z$1,FALSE)),"dk",IF(ISERROR(VLOOKUP($A39,deadlines!$B$2:$H$52,Z$1,FALSE)+1),"","Y"))</f>
        <v>dk</v>
      </c>
      <c r="AA39" s="74" t="str">
        <f>IF(ISERROR(VLOOKUP($A39,deadlines!$B$2:$H$52,AA$1,FALSE)),"dk",IF(ISERROR(VLOOKUP($A39,deadlines!$B$2:$H$52,AA$1,FALSE)+1),"","Y"))</f>
        <v>dk</v>
      </c>
      <c r="AB39" s="80" t="str">
        <f>IF(ISERROR(VLOOKUP($A39,deadlines!$B$2:$H$52,AB$1,FALSE)),"",VLOOKUP($A39,deadlines!$B$2:$H$52,AB$1,FALSE))</f>
        <v/>
      </c>
      <c r="AC39" s="123"/>
      <c r="AD39" s="124"/>
      <c r="AE39" s="29"/>
      <c r="AF39" s="105">
        <v>123961</v>
      </c>
      <c r="AG39" s="29">
        <v>77</v>
      </c>
    </row>
    <row r="40" spans="1:33" x14ac:dyDescent="0.35">
      <c r="A40" s="29" t="str">
        <f>VLOOKUP($AF40,raw!$A$1:$CA$193,61,FALSE)</f>
        <v>Georgetown University</v>
      </c>
      <c r="B40" s="136"/>
      <c r="C40" s="136"/>
      <c r="D40" s="137"/>
      <c r="E40" s="137"/>
      <c r="F40" s="136" t="str">
        <f>VLOOKUP($AF40,raw!$A$1:$CA$193,F$2,FALSE)</f>
        <v>Washington</v>
      </c>
      <c r="G40" s="138" t="str">
        <f>VLOOKUP($AF40,raw!$A$1:$CA$193,G$2,FALSE)</f>
        <v>DC</v>
      </c>
      <c r="H40" s="136" t="str">
        <f>VLOOKUP($AF40,raw!$A$1:$CA$193,H$2,FALSE)</f>
        <v>City: Large</v>
      </c>
      <c r="I40" s="140" t="str">
        <f>CONCATENATE(VLOOKUP($AF40,raw!$A$1:$BZ$193,I$2,FALSE)," - ",VLOOKUP($AF40,raw!$A$1:$BZ$193,I$2+2,FALSE))</f>
        <v>700 - 770</v>
      </c>
      <c r="J40" s="141" t="str">
        <f>CONCATENATE(VLOOKUP($AF40,raw!$A$1:$BZ$193,J$2,FALSE)," - ",VLOOKUP($AF40,raw!$A$1:$BZ$193,J$2+2,FALSE))</f>
        <v>690 - 780</v>
      </c>
      <c r="K40" s="142">
        <f>VLOOKUP($AF40,raw!$A$1:$BZ$193,K$2,FALSE)</f>
        <v>25485</v>
      </c>
      <c r="L40" s="143">
        <f>VLOOKUP($AF40,raw!$A$1:$BZ$193,L$2,FALSE)</f>
        <v>3334</v>
      </c>
      <c r="M40" s="144">
        <f>VLOOKUP($AF40,raw!$A$1:$BZ$193,M$2,FALSE)/100</f>
        <v>0.13</v>
      </c>
      <c r="N40" s="145">
        <f>VLOOKUP($AF40,raw!$A$1:$BZ$193,N$2,FALSE)/K40</f>
        <v>0.38822836962919366</v>
      </c>
      <c r="O40" s="146">
        <f>IF(N40&gt;0,(VLOOKUP($AF40,raw!$A$1:$BZ$193,O$2,FALSE)/(L40*N40)-0),1)</f>
        <v>1.0259949223011673</v>
      </c>
      <c r="P40" s="147">
        <f>VLOOKUP($AF40,raw!$A$1:$BZ$193,P$2,FALSE)/K40</f>
        <v>0.59795958406906025</v>
      </c>
      <c r="Q40" s="146">
        <f>IF(P40&gt;0,(VLOOKUP($AF40,raw!$A$1:$BZ$193,Q$2,FALSE)/(L40*P40)-0),1)</f>
        <v>0.98866508606540393</v>
      </c>
      <c r="R40" s="143">
        <f>VLOOKUP($AF40,raw!$A$1:$BZ$193,R$2,FALSE)</f>
        <v>1598</v>
      </c>
      <c r="S40" s="148" t="str">
        <f t="shared" si="1"/>
        <v>m</v>
      </c>
      <c r="T40" s="136"/>
      <c r="U40" s="136"/>
      <c r="V40" s="149" t="s">
        <v>445</v>
      </c>
      <c r="W40" s="150">
        <v>1</v>
      </c>
      <c r="X40" s="150"/>
      <c r="Y40" s="135" t="str">
        <f>IF(ISERROR(VLOOKUP($A40,deadlines!$B$2:$H$52,Y$1,FALSE)),"dk",IF(ISERROR(VLOOKUP($A40,deadlines!$B$2:$H$52,Y$1,FALSE)+1),"","Y"))</f>
        <v/>
      </c>
      <c r="Z40" s="135" t="str">
        <f>IF(ISERROR(VLOOKUP($A40,deadlines!$B$2:$H$52,Z$1,FALSE)),"dk",IF(ISERROR(VLOOKUP($A40,deadlines!$B$2:$H$52,Z$1,FALSE)+1),"","Y"))</f>
        <v/>
      </c>
      <c r="AA40" s="135" t="str">
        <f>IF(ISERROR(VLOOKUP($A40,deadlines!$B$2:$H$52,AA$1,FALSE)),"dk",IF(ISERROR(VLOOKUP($A40,deadlines!$B$2:$H$52,AA$1,FALSE)+1),"","Y"))</f>
        <v>Y</v>
      </c>
      <c r="AB40" s="147">
        <f>IF(ISERROR(VLOOKUP($A40,deadlines!$B$2:$H$52,AB$1,FALSE)),"",VLOOKUP($A40,deadlines!$B$2:$H$52,AB$1,FALSE))</f>
        <v>0.1</v>
      </c>
      <c r="AC40" s="139"/>
      <c r="AD40" s="138"/>
      <c r="AE40" s="29"/>
      <c r="AF40" s="105">
        <v>131496</v>
      </c>
      <c r="AG40" s="29">
        <v>30</v>
      </c>
    </row>
    <row r="41" spans="1:33" x14ac:dyDescent="0.35">
      <c r="A41" s="29" t="str">
        <f>VLOOKUP($AF41,raw!$A$1:$CA$193,61,FALSE)</f>
        <v>University of Notre Dame</v>
      </c>
      <c r="B41" s="136"/>
      <c r="C41" s="136"/>
      <c r="D41" s="137"/>
      <c r="E41" s="137"/>
      <c r="F41" s="73" t="str">
        <f>VLOOKUP($AF41,raw!$A$1:$CA$193,F$2,FALSE)</f>
        <v>Notre Dame</v>
      </c>
      <c r="G41" s="45" t="str">
        <f>VLOOKUP($AF41,raw!$A$1:$CA$193,G$2,FALSE)</f>
        <v>IN</v>
      </c>
      <c r="H41" s="73" t="str">
        <f>VLOOKUP($AF41,raw!$A$1:$CA$193,H$2,FALSE)</f>
        <v>Suburb: Large</v>
      </c>
      <c r="I41" s="59" t="str">
        <f>CONCATENATE(VLOOKUP($AF41,raw!$A$1:$BZ$193,I$2,FALSE)," - ",VLOOKUP($AF41,raw!$A$1:$BZ$193,I$2+2,FALSE))</f>
        <v>710 - 760</v>
      </c>
      <c r="J41" s="60" t="str">
        <f>CONCATENATE(VLOOKUP($AF41,raw!$A$1:$BZ$193,J$2,FALSE)," - ",VLOOKUP($AF41,raw!$A$1:$BZ$193,J$2+2,FALSE))</f>
        <v>730 - 780</v>
      </c>
      <c r="K41" s="54">
        <f>VLOOKUP($AF41,raw!$A$1:$BZ$193,K$2,FALSE)</f>
        <v>28353</v>
      </c>
      <c r="L41" s="51">
        <f>VLOOKUP($AF41,raw!$A$1:$BZ$193,L$2,FALSE)</f>
        <v>3510</v>
      </c>
      <c r="M41" s="66">
        <f>VLOOKUP($AF41,raw!$A$1:$BZ$193,M$2,FALSE)/100</f>
        <v>0.12</v>
      </c>
      <c r="N41" s="63">
        <f>VLOOKUP($AF41,raw!$A$1:$BZ$193,N$2,FALSE)/K41</f>
        <v>0.48442845554262337</v>
      </c>
      <c r="O41" s="78">
        <f>IF(N41&gt;0,(VLOOKUP($AF41,raw!$A$1:$BZ$193,O$2,FALSE)/(L41*N41)-0),1)</f>
        <v>1.0544925777615985</v>
      </c>
      <c r="P41" s="47">
        <f>VLOOKUP($AF41,raw!$A$1:$BZ$193,P$2,FALSE)/K41</f>
        <v>0.51557154445737663</v>
      </c>
      <c r="Q41" s="78">
        <f>IF(P41&gt;0,(VLOOKUP($AF41,raw!$A$1:$BZ$193,Q$2,FALSE)/(L41*P41)-0),1)</f>
        <v>0.94879904531703685</v>
      </c>
      <c r="R41" s="51">
        <f>VLOOKUP($AF41,raw!$A$1:$BZ$193,R$2,FALSE)</f>
        <v>2075</v>
      </c>
      <c r="S41" s="48" t="str">
        <f t="shared" si="1"/>
        <v>l</v>
      </c>
      <c r="T41" s="73"/>
      <c r="U41" s="73"/>
      <c r="V41" s="111"/>
      <c r="W41" s="104"/>
      <c r="X41" s="104"/>
      <c r="Y41" s="73" t="str">
        <f>IF(ISERROR(VLOOKUP($A41,deadlines!$B$2:$H$52,Y$1,FALSE)),"dk",IF(ISERROR(VLOOKUP($A41,deadlines!$B$2:$H$52,Y$1,FALSE)+1),"","Y"))</f>
        <v>dk</v>
      </c>
      <c r="Z41" s="73" t="str">
        <f>IF(ISERROR(VLOOKUP($A41,deadlines!$B$2:$H$52,Z$1,FALSE)),"dk",IF(ISERROR(VLOOKUP($A41,deadlines!$B$2:$H$52,Z$1,FALSE)+1),"","Y"))</f>
        <v>dk</v>
      </c>
      <c r="AA41" s="73" t="str">
        <f>IF(ISERROR(VLOOKUP($A41,deadlines!$B$2:$H$52,AA$1,FALSE)),"dk",IF(ISERROR(VLOOKUP($A41,deadlines!$B$2:$H$52,AA$1,FALSE)+1),"","Y"))</f>
        <v>dk</v>
      </c>
      <c r="AB41" s="47" t="str">
        <f>IF(ISERROR(VLOOKUP($A41,deadlines!$B$2:$H$52,AB$1,FALSE)),"",VLOOKUP($A41,deadlines!$B$2:$H$52,AB$1,FALSE))</f>
        <v/>
      </c>
      <c r="AC41" s="44"/>
      <c r="AD41" s="45"/>
      <c r="AE41" s="29"/>
      <c r="AF41" s="105">
        <v>152080</v>
      </c>
      <c r="AG41" s="29">
        <v>72</v>
      </c>
    </row>
    <row r="42" spans="1:33" x14ac:dyDescent="0.35">
      <c r="A42" s="29" t="str">
        <f>VLOOKUP($AF42,raw!$A$1:$CA$193,61,FALSE)</f>
        <v>Tulane University of Louisiana</v>
      </c>
      <c r="B42" s="136"/>
      <c r="C42" s="136"/>
      <c r="D42" s="137"/>
      <c r="E42" s="137"/>
      <c r="F42" s="29" t="str">
        <f>VLOOKUP($AF42,raw!$A$1:$CA$193,F$2,FALSE)</f>
        <v>New Orleans</v>
      </c>
      <c r="G42" s="30" t="str">
        <f>VLOOKUP($AF42,raw!$A$1:$CA$193,G$2,FALSE)</f>
        <v>LA</v>
      </c>
      <c r="H42" s="29" t="str">
        <f>VLOOKUP($AF42,raw!$A$1:$CA$193,H$2,FALSE)</f>
        <v>City: Large</v>
      </c>
      <c r="I42" s="57" t="str">
        <f>CONCATENATE(VLOOKUP($AF42,raw!$A$1:$BZ$193,I$2,FALSE)," - ",VLOOKUP($AF42,raw!$A$1:$BZ$193,I$2+2,FALSE))</f>
        <v>690 - 750</v>
      </c>
      <c r="J42" s="58" t="str">
        <f>CONCATENATE(VLOOKUP($AF42,raw!$A$1:$BZ$193,J$2,FALSE)," - ",VLOOKUP($AF42,raw!$A$1:$BZ$193,J$2+2,FALSE))</f>
        <v>700 - 760</v>
      </c>
      <c r="K42" s="53">
        <f>VLOOKUP($AF42,raw!$A$1:$BZ$193,K$2,FALSE)</f>
        <v>27936</v>
      </c>
      <c r="L42" s="50">
        <f>VLOOKUP($AF42,raw!$A$1:$BZ$193,L$2,FALSE)</f>
        <v>4077</v>
      </c>
      <c r="M42" s="65">
        <f>VLOOKUP($AF42,raw!$A$1:$BZ$193,M$2,FALSE)/100</f>
        <v>0.15</v>
      </c>
      <c r="N42" s="62">
        <f>VLOOKUP($AF42,raw!$A$1:$BZ$193,N$2,FALSE)/K42</f>
        <v>0.36895045819014893</v>
      </c>
      <c r="O42" s="77">
        <f>IF(N42&gt;0,(VLOOKUP($AF42,raw!$A$1:$BZ$193,O$2,FALSE)/(L42*N42)-0),1)</f>
        <v>0.93337968088298506</v>
      </c>
      <c r="P42" s="36">
        <f>VLOOKUP($AF42,raw!$A$1:$BZ$193,P$2,FALSE)/K42</f>
        <v>0.63104954180985107</v>
      </c>
      <c r="Q42" s="77">
        <f>IF(P42&gt;0,(VLOOKUP($AF42,raw!$A$1:$BZ$193,Q$2,FALSE)/(L42*P42)-0),1)</f>
        <v>1.0389503448374311</v>
      </c>
      <c r="R42" s="50">
        <f>VLOOKUP($AF42,raw!$A$1:$BZ$193,R$2,FALSE)</f>
        <v>1867</v>
      </c>
      <c r="S42" s="40" t="str">
        <f t="shared" si="1"/>
        <v>m</v>
      </c>
      <c r="T42" s="29"/>
      <c r="U42" s="28"/>
      <c r="V42" s="110" t="s">
        <v>445</v>
      </c>
      <c r="W42" s="105">
        <v>1</v>
      </c>
      <c r="X42" s="105"/>
      <c r="Y42" s="29" t="str">
        <f>IF(ISERROR(VLOOKUP($A42,deadlines!$B$2:$H$52,Y$1,FALSE)),"dk",IF(ISERROR(VLOOKUP($A42,deadlines!$B$2:$H$52,Y$1,FALSE)+1),"","Y"))</f>
        <v>dk</v>
      </c>
      <c r="Z42" s="29" t="str">
        <f>IF(ISERROR(VLOOKUP($A42,deadlines!$B$2:$H$52,Z$1,FALSE)),"dk",IF(ISERROR(VLOOKUP($A42,deadlines!$B$2:$H$52,Z$1,FALSE)+1),"","Y"))</f>
        <v>dk</v>
      </c>
      <c r="AA42" s="29" t="str">
        <f>IF(ISERROR(VLOOKUP($A42,deadlines!$B$2:$H$52,AA$1,FALSE)),"dk",IF(ISERROR(VLOOKUP($A42,deadlines!$B$2:$H$52,AA$1,FALSE)+1),"","Y"))</f>
        <v>dk</v>
      </c>
      <c r="AB42" s="95" t="str">
        <f>IF(ISERROR(VLOOKUP($A42,deadlines!$B$2:$H$52,AB$1,FALSE)),"",VLOOKUP($A42,deadlines!$B$2:$H$52,AB$1,FALSE))</f>
        <v/>
      </c>
      <c r="AC42" s="28"/>
      <c r="AD42" s="30"/>
      <c r="AE42" s="29"/>
      <c r="AF42" s="105">
        <v>160755</v>
      </c>
      <c r="AG42" s="29">
        <v>62</v>
      </c>
    </row>
    <row r="43" spans="1:33" x14ac:dyDescent="0.35">
      <c r="A43" s="29" t="str">
        <f>VLOOKUP($AF43,raw!$A$1:$CA$193,61,FALSE)</f>
        <v>Wesleyan University</v>
      </c>
      <c r="B43" s="136"/>
      <c r="C43" s="136"/>
      <c r="D43" s="137"/>
      <c r="E43" s="137"/>
      <c r="F43" s="29" t="str">
        <f>VLOOKUP($AF43,raw!$A$1:$CA$193,F$2,FALSE)</f>
        <v>Middletown</v>
      </c>
      <c r="G43" s="30" t="str">
        <f>VLOOKUP($AF43,raw!$A$1:$CA$193,G$2,FALSE)</f>
        <v>CT</v>
      </c>
      <c r="H43" s="29" t="str">
        <f>VLOOKUP($AF43,raw!$A$1:$CA$193,H$2,FALSE)</f>
        <v>City: Small</v>
      </c>
      <c r="I43" s="57" t="str">
        <f>CONCATENATE(VLOOKUP($AF43,raw!$A$1:$BZ$193,I$2,FALSE)," - ",VLOOKUP($AF43,raw!$A$1:$BZ$193,I$2+2,FALSE))</f>
        <v>720 - 770</v>
      </c>
      <c r="J43" s="58" t="str">
        <f>CONCATENATE(VLOOKUP($AF43,raw!$A$1:$BZ$193,J$2,FALSE)," - ",VLOOKUP($AF43,raw!$A$1:$BZ$193,J$2+2,FALSE))</f>
        <v>730 - 770</v>
      </c>
      <c r="K43" s="53">
        <f>VLOOKUP($AF43,raw!$A$1:$BZ$193,K$2,FALSE)</f>
        <v>14500</v>
      </c>
      <c r="L43" s="50">
        <f>VLOOKUP($AF43,raw!$A$1:$BZ$193,L$2,FALSE)</f>
        <v>2479</v>
      </c>
      <c r="M43" s="65">
        <f>VLOOKUP($AF43,raw!$A$1:$BZ$193,M$2,FALSE)/100</f>
        <v>0.17</v>
      </c>
      <c r="N43" s="62">
        <f>VLOOKUP($AF43,raw!$A$1:$BZ$193,N$2,FALSE)/K43</f>
        <v>0.39806896551724136</v>
      </c>
      <c r="O43" s="77">
        <f>IF(N43&gt;0,(VLOOKUP($AF43,raw!$A$1:$BZ$193,O$2,FALSE)/(L43*N43)-0),1)</f>
        <v>1.0680848720380791</v>
      </c>
      <c r="P43" s="36">
        <f>VLOOKUP($AF43,raw!$A$1:$BZ$193,P$2,FALSE)/K43</f>
        <v>0.60193103448275864</v>
      </c>
      <c r="Q43" s="77">
        <f>IF(P43&gt;0,(VLOOKUP($AF43,raw!$A$1:$BZ$193,Q$2,FALSE)/(L43*P43)-0),1)</f>
        <v>0.95497411991248948</v>
      </c>
      <c r="R43" s="50">
        <f>VLOOKUP($AF43,raw!$A$1:$BZ$193,R$2,FALSE)</f>
        <v>782</v>
      </c>
      <c r="S43" s="40" t="str">
        <f t="shared" si="1"/>
        <v>s</v>
      </c>
      <c r="T43" s="75"/>
      <c r="U43" s="29"/>
      <c r="V43" s="110" t="s">
        <v>425</v>
      </c>
      <c r="W43" s="105">
        <v>1</v>
      </c>
      <c r="X43" s="105">
        <v>1</v>
      </c>
      <c r="Y43" s="75" t="str">
        <f>IF(ISERROR(VLOOKUP($A43,deadlines!$B$2:$H$52,Y$1,FALSE)),"dk",IF(ISERROR(VLOOKUP($A43,deadlines!$B$2:$H$52,Y$1,FALSE)+1),"","Y"))</f>
        <v>Y</v>
      </c>
      <c r="Z43" s="75" t="str">
        <f>IF(ISERROR(VLOOKUP($A43,deadlines!$B$2:$H$52,Z$1,FALSE)),"dk",IF(ISERROR(VLOOKUP($A43,deadlines!$B$2:$H$52,Z$1,FALSE)+1),"","Y"))</f>
        <v>Y</v>
      </c>
      <c r="AA43" s="75" t="str">
        <f>IF(ISERROR(VLOOKUP($A43,deadlines!$B$2:$H$52,AA$1,FALSE)),"dk",IF(ISERROR(VLOOKUP($A43,deadlines!$B$2:$H$52,AA$1,FALSE)+1),"","Y"))</f>
        <v/>
      </c>
      <c r="AB43" s="36">
        <f>IF(ISERROR(VLOOKUP($A43,deadlines!$B$2:$H$52,AB$1,FALSE)),"",VLOOKUP($A43,deadlines!$B$2:$H$52,AB$1,FALSE))</f>
        <v>0.4</v>
      </c>
      <c r="AC43" s="28"/>
      <c r="AD43" s="30"/>
      <c r="AE43" s="29"/>
      <c r="AF43" s="105">
        <v>130697</v>
      </c>
      <c r="AG43" s="29">
        <v>89</v>
      </c>
    </row>
    <row r="44" spans="1:33" x14ac:dyDescent="0.35">
      <c r="A44" s="29" t="str">
        <f>VLOOKUP($AF44,raw!$A$1:$CA$193,61,FALSE)</f>
        <v>Wellesley College</v>
      </c>
      <c r="B44" s="136"/>
      <c r="C44" s="136"/>
      <c r="D44" s="137"/>
      <c r="E44" s="137"/>
      <c r="F44" s="29" t="str">
        <f>VLOOKUP($AF44,raw!$A$1:$CA$193,F$2,FALSE)</f>
        <v>Wellesley</v>
      </c>
      <c r="G44" s="30" t="str">
        <f>VLOOKUP($AF44,raw!$A$1:$CA$193,G$2,FALSE)</f>
        <v>MA</v>
      </c>
      <c r="H44" s="29" t="str">
        <f>VLOOKUP($AF44,raw!$A$1:$CA$193,H$2,FALSE)</f>
        <v>Suburb: Large</v>
      </c>
      <c r="I44" s="57" t="str">
        <f>CONCATENATE(VLOOKUP($AF44,raw!$A$1:$BZ$193,I$2,FALSE)," - ",VLOOKUP($AF44,raw!$A$1:$BZ$193,I$2+2,FALSE))</f>
        <v>720 - 770</v>
      </c>
      <c r="J44" s="58" t="str">
        <f>CONCATENATE(VLOOKUP($AF44,raw!$A$1:$BZ$193,J$2,FALSE)," - ",VLOOKUP($AF44,raw!$A$1:$BZ$193,J$2+2,FALSE))</f>
        <v>720 - 780</v>
      </c>
      <c r="K44" s="53">
        <f>VLOOKUP($AF44,raw!$A$1:$BZ$193,K$2,FALSE)</f>
        <v>8184</v>
      </c>
      <c r="L44" s="50">
        <f>VLOOKUP($AF44,raw!$A$1:$BZ$193,L$2,FALSE)</f>
        <v>1138</v>
      </c>
      <c r="M44" s="65">
        <f>VLOOKUP($AF44,raw!$A$1:$BZ$193,M$2,FALSE)/100</f>
        <v>0.14000000000000001</v>
      </c>
      <c r="N44" s="62">
        <f>VLOOKUP($AF44,raw!$A$1:$BZ$193,N$2,FALSE)/K44</f>
        <v>0</v>
      </c>
      <c r="O44" s="77">
        <f>IF(N44&gt;0,(VLOOKUP($AF44,raw!$A$1:$BZ$193,O$2,FALSE)/(L44*N44)-0),1)</f>
        <v>1</v>
      </c>
      <c r="P44" s="36">
        <f>VLOOKUP($AF44,raw!$A$1:$BZ$193,P$2,FALSE)/K44</f>
        <v>1</v>
      </c>
      <c r="Q44" s="77">
        <f>IF(P44&gt;0,(VLOOKUP($AF44,raw!$A$1:$BZ$193,Q$2,FALSE)/(L44*P44)-0),1)</f>
        <v>1</v>
      </c>
      <c r="R44" s="50">
        <f>VLOOKUP($AF44,raw!$A$1:$BZ$193,R$2,FALSE)</f>
        <v>573</v>
      </c>
      <c r="S44" s="40" t="str">
        <f t="shared" si="1"/>
        <v>s</v>
      </c>
      <c r="T44" s="75"/>
      <c r="U44" s="29"/>
      <c r="V44" s="110"/>
      <c r="W44" s="105"/>
      <c r="X44" s="105"/>
      <c r="Y44" s="29" t="str">
        <f>IF(ISERROR(VLOOKUP($A44,deadlines!$B$2:$H$52,Y$1,FALSE)),"dk",IF(ISERROR(VLOOKUP($A44,deadlines!$B$2:$H$52,Y$1,FALSE)+1),"","Y"))</f>
        <v>dk</v>
      </c>
      <c r="Z44" s="29" t="str">
        <f>IF(ISERROR(VLOOKUP($A44,deadlines!$B$2:$H$52,Z$1,FALSE)),"dk",IF(ISERROR(VLOOKUP($A44,deadlines!$B$2:$H$52,Z$1,FALSE)+1),"","Y"))</f>
        <v>dk</v>
      </c>
      <c r="AA44" s="29" t="str">
        <f>IF(ISERROR(VLOOKUP($A44,deadlines!$B$2:$H$52,AA$1,FALSE)),"dk",IF(ISERROR(VLOOKUP($A44,deadlines!$B$2:$H$52,AA$1,FALSE)+1),"","Y"))</f>
        <v>dk</v>
      </c>
      <c r="AB44" s="36" t="str">
        <f>IF(ISERROR(VLOOKUP($A44,deadlines!$B$2:$H$52,AB$1,FALSE)),"",VLOOKUP($A44,deadlines!$B$2:$H$52,AB$1,FALSE))</f>
        <v/>
      </c>
      <c r="AC44" s="28"/>
      <c r="AD44" s="30"/>
      <c r="AE44" s="29"/>
      <c r="AF44" s="105">
        <v>168218</v>
      </c>
      <c r="AG44" s="29">
        <v>88</v>
      </c>
    </row>
    <row r="45" spans="1:33" x14ac:dyDescent="0.35">
      <c r="A45" s="29" t="str">
        <f>VLOOKUP($AF45,raw!$A$1:$CA$193,61,FALSE)</f>
        <v>Haverford College</v>
      </c>
      <c r="B45" s="136"/>
      <c r="C45" s="136"/>
      <c r="D45" s="137"/>
      <c r="E45" s="137"/>
      <c r="F45" s="29" t="str">
        <f>VLOOKUP($AF45,raw!$A$1:$CA$193,F$2,FALSE)</f>
        <v>Haverford</v>
      </c>
      <c r="G45" s="30" t="str">
        <f>VLOOKUP($AF45,raw!$A$1:$CA$193,G$2,FALSE)</f>
        <v>PA</v>
      </c>
      <c r="H45" s="29" t="str">
        <f>VLOOKUP($AF45,raw!$A$1:$CA$193,H$2,FALSE)</f>
        <v>Suburb: Large</v>
      </c>
      <c r="I45" s="57" t="str">
        <f>CONCATENATE(VLOOKUP($AF45,raw!$A$1:$BZ$193,I$2,FALSE)," - ",VLOOKUP($AF45,raw!$A$1:$BZ$193,I$2+2,FALSE))</f>
        <v>710 - 760</v>
      </c>
      <c r="J45" s="58" t="str">
        <f>CONCATENATE(VLOOKUP($AF45,raw!$A$1:$BZ$193,J$2,FALSE)," - ",VLOOKUP($AF45,raw!$A$1:$BZ$193,J$2+2,FALSE))</f>
        <v>720 - 780</v>
      </c>
      <c r="K45" s="53">
        <f>VLOOKUP($AF45,raw!$A$1:$BZ$193,K$2,FALSE)</f>
        <v>6391</v>
      </c>
      <c r="L45" s="50">
        <f>VLOOKUP($AF45,raw!$A$1:$BZ$193,L$2,FALSE)</f>
        <v>825</v>
      </c>
      <c r="M45" s="65">
        <f>VLOOKUP($AF45,raw!$A$1:$BZ$193,M$2,FALSE)/100</f>
        <v>0.13</v>
      </c>
      <c r="N45" s="62">
        <f>VLOOKUP($AF45,raw!$A$1:$BZ$193,N$2,FALSE)/K45</f>
        <v>0.47973713033953996</v>
      </c>
      <c r="O45" s="77">
        <f>IF(N45&gt;0,(VLOOKUP($AF45,raw!$A$1:$BZ$193,O$2,FALSE)/(L45*N45)-0),1)</f>
        <v>0.88684931506849307</v>
      </c>
      <c r="P45" s="36">
        <f>VLOOKUP($AF45,raw!$A$1:$BZ$193,P$2,FALSE)/K45</f>
        <v>0.52026286966045998</v>
      </c>
      <c r="Q45" s="77">
        <f>IF(P45&gt;0,(VLOOKUP($AF45,raw!$A$1:$BZ$193,Q$2,FALSE)/(L45*P45)-0),1)</f>
        <v>1.1043368421052633</v>
      </c>
      <c r="R45" s="50">
        <f>VLOOKUP($AF45,raw!$A$1:$BZ$193,R$2,FALSE)</f>
        <v>373</v>
      </c>
      <c r="S45" s="40" t="str">
        <f t="shared" si="1"/>
        <v>s</v>
      </c>
      <c r="T45" s="75"/>
      <c r="U45" s="29"/>
      <c r="V45" s="110"/>
      <c r="W45" s="105"/>
      <c r="X45" s="105"/>
      <c r="Y45" s="29" t="str">
        <f>IF(ISERROR(VLOOKUP($A45,deadlines!$B$2:$H$52,Y$1,FALSE)),"dk",IF(ISERROR(VLOOKUP($A45,deadlines!$B$2:$H$52,Y$1,FALSE)+1),"","Y"))</f>
        <v>dk</v>
      </c>
      <c r="Z45" s="29" t="str">
        <f>IF(ISERROR(VLOOKUP($A45,deadlines!$B$2:$H$52,Z$1,FALSE)),"dk",IF(ISERROR(VLOOKUP($A45,deadlines!$B$2:$H$52,Z$1,FALSE)+1),"","Y"))</f>
        <v>dk</v>
      </c>
      <c r="AA45" s="29" t="str">
        <f>IF(ISERROR(VLOOKUP($A45,deadlines!$B$2:$H$52,AA$1,FALSE)),"dk",IF(ISERROR(VLOOKUP($A45,deadlines!$B$2:$H$52,AA$1,FALSE)+1),"","Y"))</f>
        <v>dk</v>
      </c>
      <c r="AB45" s="36" t="str">
        <f>IF(ISERROR(VLOOKUP($A45,deadlines!$B$2:$H$52,AB$1,FALSE)),"",VLOOKUP($A45,deadlines!$B$2:$H$52,AB$1,FALSE))</f>
        <v/>
      </c>
      <c r="AC45" s="28"/>
      <c r="AD45" s="30"/>
      <c r="AE45" s="29"/>
      <c r="AF45" s="105">
        <v>212911</v>
      </c>
      <c r="AG45" s="29">
        <v>33</v>
      </c>
    </row>
    <row r="46" spans="1:33" x14ac:dyDescent="0.35">
      <c r="A46" s="29" t="str">
        <f>VLOOKUP($AF46,raw!$A$1:$CA$193,61,FALSE)</f>
        <v>Bates College</v>
      </c>
      <c r="B46" s="136"/>
      <c r="C46" s="136"/>
      <c r="D46" s="137"/>
      <c r="E46" s="137"/>
      <c r="F46" s="29" t="str">
        <f>VLOOKUP($AF46,raw!$A$1:$CA$193,F$2,FALSE)</f>
        <v>Lewiston</v>
      </c>
      <c r="G46" s="30" t="str">
        <f>VLOOKUP($AF46,raw!$A$1:$CA$193,G$2,FALSE)</f>
        <v>ME</v>
      </c>
      <c r="H46" s="29" t="str">
        <f>VLOOKUP($AF46,raw!$A$1:$CA$193,H$2,FALSE)</f>
        <v>City: Small</v>
      </c>
      <c r="I46" s="57" t="str">
        <f>CONCATENATE(VLOOKUP($AF46,raw!$A$1:$BZ$193,I$2,FALSE)," - ",VLOOKUP($AF46,raw!$A$1:$BZ$193,I$2+2,FALSE))</f>
        <v>700 - 740</v>
      </c>
      <c r="J46" s="58" t="str">
        <f>CONCATENATE(VLOOKUP($AF46,raw!$A$1:$BZ$193,J$2,FALSE)," - ",VLOOKUP($AF46,raw!$A$1:$BZ$193,J$2+2,FALSE))</f>
        <v>700 - 770</v>
      </c>
      <c r="K46" s="53">
        <f>VLOOKUP($AF46,raw!$A$1:$BZ$193,K$2,FALSE)</f>
        <v>8937</v>
      </c>
      <c r="L46" s="50">
        <f>VLOOKUP($AF46,raw!$A$1:$BZ$193,L$2,FALSE)</f>
        <v>1164</v>
      </c>
      <c r="M46" s="65">
        <f>VLOOKUP($AF46,raw!$A$1:$BZ$193,M$2,FALSE)/100</f>
        <v>0.13</v>
      </c>
      <c r="N46" s="62">
        <f>VLOOKUP($AF46,raw!$A$1:$BZ$193,N$2,FALSE)/K46</f>
        <v>0.47588676289582632</v>
      </c>
      <c r="O46" s="77">
        <f>IF(N46&gt;0,(VLOOKUP($AF46,raw!$A$1:$BZ$193,O$2,FALSE)/(L46*N46)-0),1)</f>
        <v>0.97845911073081226</v>
      </c>
      <c r="P46" s="36">
        <f>VLOOKUP($AF46,raw!$A$1:$BZ$193,P$2,FALSE)/K46</f>
        <v>0.52411323710417368</v>
      </c>
      <c r="Q46" s="77">
        <f>IF(P46&gt;0,(VLOOKUP($AF46,raw!$A$1:$BZ$193,Q$2,FALSE)/(L46*P46)-0),1)</f>
        <v>1.0195587963411306</v>
      </c>
      <c r="R46" s="50">
        <f>VLOOKUP($AF46,raw!$A$1:$BZ$193,R$2,FALSE)</f>
        <v>505</v>
      </c>
      <c r="S46" s="40" t="str">
        <f t="shared" si="1"/>
        <v>s</v>
      </c>
      <c r="T46" s="29"/>
      <c r="U46" s="29"/>
      <c r="V46" s="110"/>
      <c r="W46" s="105"/>
      <c r="X46" s="105"/>
      <c r="Y46" s="29" t="str">
        <f>IF(ISERROR(VLOOKUP($A46,deadlines!$B$2:$H$52,Y$1,FALSE)),"dk",IF(ISERROR(VLOOKUP($A46,deadlines!$B$2:$H$52,Y$1,FALSE)+1),"","Y"))</f>
        <v>Y</v>
      </c>
      <c r="Z46" s="29" t="str">
        <f>IF(ISERROR(VLOOKUP($A46,deadlines!$B$2:$H$52,Z$1,FALSE)),"dk",IF(ISERROR(VLOOKUP($A46,deadlines!$B$2:$H$52,Z$1,FALSE)+1),"","Y"))</f>
        <v>Y</v>
      </c>
      <c r="AA46" s="29" t="str">
        <f>IF(ISERROR(VLOOKUP($A46,deadlines!$B$2:$H$52,AA$1,FALSE)),"dk",IF(ISERROR(VLOOKUP($A46,deadlines!$B$2:$H$52,AA$1,FALSE)+1),"","Y"))</f>
        <v/>
      </c>
      <c r="AB46" s="36">
        <f>IF(ISERROR(VLOOKUP($A46,deadlines!$B$2:$H$52,AB$1,FALSE)),"",VLOOKUP($A46,deadlines!$B$2:$H$52,AB$1,FALSE))</f>
        <v>0.42</v>
      </c>
      <c r="AC46" s="28"/>
      <c r="AD46" s="30"/>
      <c r="AE46" s="29"/>
      <c r="AF46" s="105">
        <v>160977</v>
      </c>
      <c r="AG46" s="29">
        <v>5</v>
      </c>
    </row>
    <row r="47" spans="1:33" x14ac:dyDescent="0.35">
      <c r="A47" s="29" t="str">
        <f>VLOOKUP($AF47,raw!$A$1:$CA$193,61,FALSE)</f>
        <v>University of Virginia-Main Campus</v>
      </c>
      <c r="B47" s="136"/>
      <c r="C47" s="136"/>
      <c r="D47" s="137"/>
      <c r="E47" s="137"/>
      <c r="F47" s="29" t="str">
        <f>VLOOKUP($AF47,raw!$A$1:$CA$193,F$2,FALSE)</f>
        <v>Charlottesville</v>
      </c>
      <c r="G47" s="30" t="str">
        <f>VLOOKUP($AF47,raw!$A$1:$CA$193,G$2,FALSE)</f>
        <v>VA</v>
      </c>
      <c r="H47" s="29" t="str">
        <f>VLOOKUP($AF47,raw!$A$1:$CA$193,H$2,FALSE)</f>
        <v>Suburb: Midsize</v>
      </c>
      <c r="I47" s="57" t="str">
        <f>CONCATENATE(VLOOKUP($AF47,raw!$A$1:$BZ$193,I$2,FALSE)," - ",VLOOKUP($AF47,raw!$A$1:$BZ$193,I$2+2,FALSE))</f>
        <v>700 - 750</v>
      </c>
      <c r="J47" s="58" t="str">
        <f>CONCATENATE(VLOOKUP($AF47,raw!$A$1:$BZ$193,J$2,FALSE)," - ",VLOOKUP($AF47,raw!$A$1:$BZ$193,J$2+2,FALSE))</f>
        <v>710 - 780</v>
      </c>
      <c r="K47" s="53">
        <f>VLOOKUP($AF47,raw!$A$1:$BZ$193,K$2,FALSE)</f>
        <v>56528</v>
      </c>
      <c r="L47" s="50">
        <f>VLOOKUP($AF47,raw!$A$1:$BZ$193,L$2,FALSE)</f>
        <v>9533</v>
      </c>
      <c r="M47" s="65">
        <f>VLOOKUP($AF47,raw!$A$1:$BZ$193,M$2,FALSE)/100</f>
        <v>0.17</v>
      </c>
      <c r="N47" s="62">
        <f>VLOOKUP($AF47,raw!$A$1:$BZ$193,N$2,FALSE)/K47</f>
        <v>0.45480116048683839</v>
      </c>
      <c r="O47" s="77">
        <f>IF(N47&gt;0,(VLOOKUP($AF47,raw!$A$1:$BZ$193,O$2,FALSE)/(L47*N47)-0),1)</f>
        <v>0.94311782548487877</v>
      </c>
      <c r="P47" s="36">
        <f>VLOOKUP($AF47,raw!$A$1:$BZ$193,P$2,FALSE)/K47</f>
        <v>0.54519883951316161</v>
      </c>
      <c r="Q47" s="77">
        <f>IF(P47&gt;0,(VLOOKUP($AF47,raw!$A$1:$BZ$193,Q$2,FALSE)/(L47*P47)-0),1)</f>
        <v>1.0474507227557432</v>
      </c>
      <c r="R47" s="50">
        <f>VLOOKUP($AF47,raw!$A$1:$BZ$193,R$2,FALSE)</f>
        <v>3965</v>
      </c>
      <c r="S47" s="40" t="str">
        <f t="shared" si="1"/>
        <v>l</v>
      </c>
      <c r="T47" s="29"/>
      <c r="U47" s="29"/>
      <c r="V47" s="110" t="s">
        <v>425</v>
      </c>
      <c r="W47" s="105">
        <v>1</v>
      </c>
      <c r="X47" s="105"/>
      <c r="Y47" s="29" t="str">
        <f>IF(ISERROR(VLOOKUP($A47,deadlines!$B$2:$H$52,Y$1,FALSE)),"dk",IF(ISERROR(VLOOKUP($A47,deadlines!$B$2:$H$52,Y$1,FALSE)+1),"","Y"))</f>
        <v>dk</v>
      </c>
      <c r="Z47" s="29" t="str">
        <f>IF(ISERROR(VLOOKUP($A47,deadlines!$B$2:$H$52,Z$1,FALSE)),"dk",IF(ISERROR(VLOOKUP($A47,deadlines!$B$2:$H$52,Z$1,FALSE)+1),"","Y"))</f>
        <v>dk</v>
      </c>
      <c r="AA47" s="29" t="str">
        <f>IF(ISERROR(VLOOKUP($A47,deadlines!$B$2:$H$52,AA$1,FALSE)),"dk",IF(ISERROR(VLOOKUP($A47,deadlines!$B$2:$H$52,AA$1,FALSE)+1),"","Y"))</f>
        <v>dk</v>
      </c>
      <c r="AB47" s="95" t="str">
        <f>IF(ISERROR(VLOOKUP($A47,deadlines!$B$2:$H$52,AB$1,FALSE)),"",VLOOKUP($A47,deadlines!$B$2:$H$52,AB$1,FALSE))</f>
        <v/>
      </c>
      <c r="AC47" s="28"/>
      <c r="AD47" s="30"/>
      <c r="AE47" s="29"/>
      <c r="AF47" s="105">
        <v>234076</v>
      </c>
      <c r="AG47" s="29">
        <v>81</v>
      </c>
    </row>
    <row r="48" spans="1:33" x14ac:dyDescent="0.35">
      <c r="A48" s="29" t="str">
        <f>VLOOKUP($AF48,raw!$A$1:$CA$193,61,FALSE)</f>
        <v>Boston College</v>
      </c>
      <c r="B48" s="136"/>
      <c r="C48" s="136"/>
      <c r="D48" s="137"/>
      <c r="E48" s="137"/>
      <c r="F48" s="29" t="str">
        <f>VLOOKUP($AF48,raw!$A$1:$CA$193,F$2,FALSE)</f>
        <v>Chestnut Hill</v>
      </c>
      <c r="G48" s="30" t="str">
        <f>VLOOKUP($AF48,raw!$A$1:$CA$193,G$2,FALSE)</f>
        <v>MA</v>
      </c>
      <c r="H48" s="29" t="str">
        <f>VLOOKUP($AF48,raw!$A$1:$CA$193,H$2,FALSE)</f>
        <v>City: Small</v>
      </c>
      <c r="I48" s="57" t="str">
        <f>CONCATENATE(VLOOKUP($AF48,raw!$A$1:$BZ$193,I$2,FALSE)," - ",VLOOKUP($AF48,raw!$A$1:$BZ$193,I$2+2,FALSE))</f>
        <v>710 - 760</v>
      </c>
      <c r="J48" s="58" t="str">
        <f>CONCATENATE(VLOOKUP($AF48,raw!$A$1:$BZ$193,J$2,FALSE)," - ",VLOOKUP($AF48,raw!$A$1:$BZ$193,J$2+2,FALSE))</f>
        <v>720 - 780</v>
      </c>
      <c r="K48" s="53">
        <f>VLOOKUP($AF48,raw!$A$1:$BZ$193,K$2,FALSE)</f>
        <v>36069</v>
      </c>
      <c r="L48" s="50">
        <f>VLOOKUP($AF48,raw!$A$1:$BZ$193,L$2,FALSE)</f>
        <v>5645</v>
      </c>
      <c r="M48" s="65">
        <f>VLOOKUP($AF48,raw!$A$1:$BZ$193,M$2,FALSE)/100</f>
        <v>0.16</v>
      </c>
      <c r="N48" s="62">
        <f>VLOOKUP($AF48,raw!$A$1:$BZ$193,N$2,FALSE)/K48</f>
        <v>0.39807036513349414</v>
      </c>
      <c r="O48" s="77">
        <f>IF(N48&gt;0,(VLOOKUP($AF48,raw!$A$1:$BZ$193,O$2,FALSE)/(L48*N48)-0),1)</f>
        <v>1.1169916537642823</v>
      </c>
      <c r="P48" s="36">
        <f>VLOOKUP($AF48,raw!$A$1:$BZ$193,P$2,FALSE)/K48</f>
        <v>0.60192963486650586</v>
      </c>
      <c r="Q48" s="77">
        <f>IF(P48&gt;0,(VLOOKUP($AF48,raw!$A$1:$BZ$193,Q$2,FALSE)/(L48*P48)-0),1)</f>
        <v>0.92263064047038068</v>
      </c>
      <c r="R48" s="50">
        <f>VLOOKUP($AF48,raw!$A$1:$BZ$193,R$2,FALSE)</f>
        <v>2335</v>
      </c>
      <c r="S48" s="40" t="str">
        <f t="shared" si="1"/>
        <v>l</v>
      </c>
      <c r="T48" s="75"/>
      <c r="U48" s="29"/>
      <c r="V48" s="110"/>
      <c r="W48" s="105"/>
      <c r="X48" s="105"/>
      <c r="Y48" s="29" t="str">
        <f>IF(ISERROR(VLOOKUP($A48,deadlines!$B$2:$H$52,Y$1,FALSE)),"dk",IF(ISERROR(VLOOKUP($A48,deadlines!$B$2:$H$52,Y$1,FALSE)+1),"","Y"))</f>
        <v>dk</v>
      </c>
      <c r="Z48" s="29" t="str">
        <f>IF(ISERROR(VLOOKUP($A48,deadlines!$B$2:$H$52,Z$1,FALSE)),"dk",IF(ISERROR(VLOOKUP($A48,deadlines!$B$2:$H$52,Z$1,FALSE)+1),"","Y"))</f>
        <v>dk</v>
      </c>
      <c r="AA48" s="29" t="str">
        <f>IF(ISERROR(VLOOKUP($A48,deadlines!$B$2:$H$52,AA$1,FALSE)),"dk",IF(ISERROR(VLOOKUP($A48,deadlines!$B$2:$H$52,AA$1,FALSE)+1),"","Y"))</f>
        <v>dk</v>
      </c>
      <c r="AB48" s="36" t="str">
        <f>IF(ISERROR(VLOOKUP($A48,deadlines!$B$2:$H$52,AB$1,FALSE)),"",VLOOKUP($A48,deadlines!$B$2:$H$52,AB$1,FALSE))</f>
        <v/>
      </c>
      <c r="AC48" s="28"/>
      <c r="AD48" s="30"/>
      <c r="AE48" s="29"/>
      <c r="AF48" s="105">
        <v>164924</v>
      </c>
      <c r="AG48" s="29">
        <v>6</v>
      </c>
    </row>
    <row r="49" spans="1:33" x14ac:dyDescent="0.35">
      <c r="A49" s="29" t="str">
        <f>VLOOKUP($AF49,raw!$A$1:$CA$193,61,FALSE)</f>
        <v>University of North Carolina at Chapel Hill</v>
      </c>
      <c r="B49" s="136"/>
      <c r="C49" s="136"/>
      <c r="D49" s="137"/>
      <c r="E49" s="137"/>
      <c r="F49" s="29" t="str">
        <f>VLOOKUP($AF49,raw!$A$1:$CA$193,F$2,FALSE)</f>
        <v>Chapel Hill</v>
      </c>
      <c r="G49" s="30" t="str">
        <f>VLOOKUP($AF49,raw!$A$1:$CA$193,G$2,FALSE)</f>
        <v>NC</v>
      </c>
      <c r="H49" s="29" t="str">
        <f>VLOOKUP($AF49,raw!$A$1:$CA$193,H$2,FALSE)</f>
        <v>City: Small</v>
      </c>
      <c r="I49" s="57" t="str">
        <f>CONCATENATE(VLOOKUP($AF49,raw!$A$1:$BZ$193,I$2,FALSE)," - ",VLOOKUP($AF49,raw!$A$1:$BZ$193,I$2+2,FALSE))</f>
        <v>680 - 750</v>
      </c>
      <c r="J49" s="58" t="str">
        <f>CONCATENATE(VLOOKUP($AF49,raw!$A$1:$BZ$193,J$2,FALSE)," - ",VLOOKUP($AF49,raw!$A$1:$BZ$193,J$2+2,FALSE))</f>
        <v>690 - 780</v>
      </c>
      <c r="K49" s="53">
        <f>VLOOKUP($AF49,raw!$A$1:$BZ$193,K$2,FALSE)</f>
        <v>57902</v>
      </c>
      <c r="L49" s="50">
        <f>VLOOKUP($AF49,raw!$A$1:$BZ$193,L$2,FALSE)</f>
        <v>10850</v>
      </c>
      <c r="M49" s="65">
        <f>VLOOKUP($AF49,raw!$A$1:$BZ$193,M$2,FALSE)/100</f>
        <v>0.19</v>
      </c>
      <c r="N49" s="62">
        <f>VLOOKUP($AF49,raw!$A$1:$BZ$193,N$2,FALSE)/K49</f>
        <v>0.41357811474560463</v>
      </c>
      <c r="O49" s="77">
        <f>IF(N49&gt;0,(VLOOKUP($AF49,raw!$A$1:$BZ$193,O$2,FALSE)/(L49*N49)-0),1)</f>
        <v>0.96560921497338892</v>
      </c>
      <c r="P49" s="36">
        <f>VLOOKUP($AF49,raw!$A$1:$BZ$193,P$2,FALSE)/K49</f>
        <v>0.58642188525439531</v>
      </c>
      <c r="Q49" s="77">
        <f>IF(P49&gt;0,(VLOOKUP($AF49,raw!$A$1:$BZ$193,Q$2,FALSE)/(L49*P49)-0),1)</f>
        <v>1.0242543404220958</v>
      </c>
      <c r="R49" s="50">
        <f>VLOOKUP($AF49,raw!$A$1:$BZ$193,R$2,FALSE)</f>
        <v>4688</v>
      </c>
      <c r="S49" s="40" t="str">
        <f t="shared" si="1"/>
        <v>l</v>
      </c>
      <c r="T49" s="29"/>
      <c r="U49" s="29"/>
      <c r="V49" s="110"/>
      <c r="W49" s="105"/>
      <c r="X49" s="105"/>
      <c r="Y49" s="29" t="str">
        <f>IF(ISERROR(VLOOKUP($A49,deadlines!$B$2:$H$52,Y$1,FALSE)),"dk",IF(ISERROR(VLOOKUP($A49,deadlines!$B$2:$H$52,Y$1,FALSE)+1),"","Y"))</f>
        <v>dk</v>
      </c>
      <c r="Z49" s="29" t="str">
        <f>IF(ISERROR(VLOOKUP($A49,deadlines!$B$2:$H$52,Z$1,FALSE)),"dk",IF(ISERROR(VLOOKUP($A49,deadlines!$B$2:$H$52,Z$1,FALSE)+1),"","Y"))</f>
        <v>dk</v>
      </c>
      <c r="AA49" s="29" t="str">
        <f>IF(ISERROR(VLOOKUP($A49,deadlines!$B$2:$H$52,AA$1,FALSE)),"dk",IF(ISERROR(VLOOKUP($A49,deadlines!$B$2:$H$52,AA$1,FALSE)+1),"","Y"))</f>
        <v>dk</v>
      </c>
      <c r="AB49" s="36" t="str">
        <f>IF(ISERROR(VLOOKUP($A49,deadlines!$B$2:$H$52,AB$1,FALSE)),"",VLOOKUP($A49,deadlines!$B$2:$H$52,AB$1,FALSE))</f>
        <v/>
      </c>
      <c r="AC49" s="28"/>
      <c r="AD49" s="30"/>
      <c r="AE49" s="29"/>
      <c r="AF49" s="105">
        <v>199120</v>
      </c>
      <c r="AG49" s="29">
        <v>95</v>
      </c>
    </row>
    <row r="50" spans="1:33" x14ac:dyDescent="0.35">
      <c r="A50" s="29" t="str">
        <f>VLOOKUP($AF50,raw!$A$1:$CA$193,61,FALSE)</f>
        <v>Davidson College</v>
      </c>
      <c r="B50" s="136"/>
      <c r="C50" s="136"/>
      <c r="D50" s="137"/>
      <c r="E50" s="137"/>
      <c r="F50" s="29" t="str">
        <f>VLOOKUP($AF50,raw!$A$1:$CA$193,F$2,FALSE)</f>
        <v>Davidson</v>
      </c>
      <c r="G50" s="30" t="str">
        <f>VLOOKUP($AF50,raw!$A$1:$CA$193,G$2,FALSE)</f>
        <v>NC</v>
      </c>
      <c r="H50" s="29" t="str">
        <f>VLOOKUP($AF50,raw!$A$1:$CA$193,H$2,FALSE)</f>
        <v>Suburb: Large</v>
      </c>
      <c r="I50" s="57" t="str">
        <f>CONCATENATE(VLOOKUP($AF50,raw!$A$1:$BZ$193,I$2,FALSE)," - ",VLOOKUP($AF50,raw!$A$1:$BZ$193,I$2+2,FALSE))</f>
        <v>690 - 750</v>
      </c>
      <c r="J50" s="58" t="str">
        <f>CONCATENATE(VLOOKUP($AF50,raw!$A$1:$BZ$193,J$2,FALSE)," - ",VLOOKUP($AF50,raw!$A$1:$BZ$193,J$2+2,FALSE))</f>
        <v>670 - 760</v>
      </c>
      <c r="K50" s="53">
        <f>VLOOKUP($AF50,raw!$A$1:$BZ$193,K$2,FALSE)</f>
        <v>7347</v>
      </c>
      <c r="L50" s="50">
        <f>VLOOKUP($AF50,raw!$A$1:$BZ$193,L$2,FALSE)</f>
        <v>1064</v>
      </c>
      <c r="M50" s="65">
        <f>VLOOKUP($AF50,raw!$A$1:$BZ$193,M$2,FALSE)/100</f>
        <v>0.14000000000000001</v>
      </c>
      <c r="N50" s="62">
        <f>VLOOKUP($AF50,raw!$A$1:$BZ$193,N$2,FALSE)/K50</f>
        <v>0.47760990880631549</v>
      </c>
      <c r="O50" s="77">
        <f>IF(N50&gt;0,(VLOOKUP($AF50,raw!$A$1:$BZ$193,O$2,FALSE)/(L50*N50)-0),1)</f>
        <v>0.98194144166343478</v>
      </c>
      <c r="P50" s="36">
        <f>VLOOKUP($AF50,raw!$A$1:$BZ$193,P$2,FALSE)/K50</f>
        <v>0.52239009119368451</v>
      </c>
      <c r="Q50" s="77">
        <f>IF(P50&gt;0,(VLOOKUP($AF50,raw!$A$1:$BZ$193,Q$2,FALSE)/(L50*P50)-0),1)</f>
        <v>1.0165105474734255</v>
      </c>
      <c r="R50" s="50">
        <f>VLOOKUP($AF50,raw!$A$1:$BZ$193,R$2,FALSE)</f>
        <v>519</v>
      </c>
      <c r="S50" s="40" t="str">
        <f t="shared" si="1"/>
        <v>s</v>
      </c>
      <c r="T50" s="29"/>
      <c r="U50" s="29"/>
      <c r="V50" s="110"/>
      <c r="W50" s="105"/>
      <c r="X50" s="105"/>
      <c r="Y50" s="29" t="str">
        <f>IF(ISERROR(VLOOKUP($A50,deadlines!$B$2:$H$52,Y$1,FALSE)),"dk",IF(ISERROR(VLOOKUP($A50,deadlines!$B$2:$H$52,Y$1,FALSE)+1),"","Y"))</f>
        <v>dk</v>
      </c>
      <c r="Z50" s="29" t="str">
        <f>IF(ISERROR(VLOOKUP($A50,deadlines!$B$2:$H$52,Z$1,FALSE)),"dk",IF(ISERROR(VLOOKUP($A50,deadlines!$B$2:$H$52,Z$1,FALSE)+1),"","Y"))</f>
        <v>dk</v>
      </c>
      <c r="AA50" s="29" t="str">
        <f>IF(ISERROR(VLOOKUP($A50,deadlines!$B$2:$H$52,AA$1,FALSE)),"dk",IF(ISERROR(VLOOKUP($A50,deadlines!$B$2:$H$52,AA$1,FALSE)+1),"","Y"))</f>
        <v>dk</v>
      </c>
      <c r="AB50" s="36" t="str">
        <f>IF(ISERROR(VLOOKUP($A50,deadlines!$B$2:$H$52,AB$1,FALSE)),"",VLOOKUP($A50,deadlines!$B$2:$H$52,AB$1,FALSE))</f>
        <v/>
      </c>
      <c r="AC50" s="28"/>
      <c r="AD50" s="30"/>
      <c r="AE50" s="29"/>
      <c r="AF50" s="105">
        <v>198385</v>
      </c>
      <c r="AG50" s="29">
        <v>24</v>
      </c>
    </row>
    <row r="51" spans="1:33" x14ac:dyDescent="0.35">
      <c r="A51" s="29" t="str">
        <f>VLOOKUP($AF51,raw!$A$1:$CA$193,61,FALSE)</f>
        <v>University of Michigan-Ann Arbor</v>
      </c>
      <c r="B51" s="136"/>
      <c r="C51" s="136"/>
      <c r="D51" s="137"/>
      <c r="E51" s="137"/>
      <c r="F51" s="29" t="str">
        <f>VLOOKUP($AF51,raw!$A$1:$CA$193,F$2,FALSE)</f>
        <v>Ann Arbor</v>
      </c>
      <c r="G51" s="30" t="str">
        <f>VLOOKUP($AF51,raw!$A$1:$CA$193,G$2,FALSE)</f>
        <v>MI</v>
      </c>
      <c r="H51" s="29" t="str">
        <f>VLOOKUP($AF51,raw!$A$1:$CA$193,H$2,FALSE)</f>
        <v>City: Midsize</v>
      </c>
      <c r="I51" s="57" t="str">
        <f>CONCATENATE(VLOOKUP($AF51,raw!$A$1:$BZ$193,I$2,FALSE)," - ",VLOOKUP($AF51,raw!$A$1:$BZ$193,I$2+2,FALSE))</f>
        <v>670 - 750</v>
      </c>
      <c r="J51" s="58" t="str">
        <f>CONCATENATE(VLOOKUP($AF51,raw!$A$1:$BZ$193,J$2,FALSE)," - ",VLOOKUP($AF51,raw!$A$1:$BZ$193,J$2+2,FALSE))</f>
        <v>680 - 780</v>
      </c>
      <c r="K51" s="53">
        <f>VLOOKUP($AF51,raw!$A$1:$BZ$193,K$2,FALSE)</f>
        <v>87632</v>
      </c>
      <c r="L51" s="50">
        <f>VLOOKUP($AF51,raw!$A$1:$BZ$193,L$2,FALSE)</f>
        <v>15722</v>
      </c>
      <c r="M51" s="65">
        <f>VLOOKUP($AF51,raw!$A$1:$BZ$193,M$2,FALSE)/100</f>
        <v>0.18</v>
      </c>
      <c r="N51" s="62">
        <f>VLOOKUP($AF51,raw!$A$1:$BZ$193,N$2,FALSE)/K51</f>
        <v>0.49761502647434724</v>
      </c>
      <c r="O51" s="77">
        <f>IF(N51&gt;0,(VLOOKUP($AF51,raw!$A$1:$BZ$193,O$2,FALSE)/(L51*N51)-0),1)</f>
        <v>0.89563455147154336</v>
      </c>
      <c r="P51" s="36">
        <f>VLOOKUP($AF51,raw!$A$1:$BZ$193,P$2,FALSE)/K51</f>
        <v>0.5023849735256527</v>
      </c>
      <c r="Q51" s="77">
        <f>IF(P51&gt;0,(VLOOKUP($AF51,raw!$A$1:$BZ$193,Q$2,FALSE)/(L51*P51)-0),1)</f>
        <v>1.1033745397837686</v>
      </c>
      <c r="R51" s="50">
        <f>VLOOKUP($AF51,raw!$A$1:$BZ$193,R$2,FALSE)</f>
        <v>7426</v>
      </c>
      <c r="S51" s="40" t="str">
        <f t="shared" si="1"/>
        <v>l</v>
      </c>
      <c r="T51" s="29"/>
      <c r="U51" s="28"/>
      <c r="V51" s="110" t="s">
        <v>425</v>
      </c>
      <c r="W51" s="105">
        <v>1</v>
      </c>
      <c r="X51" s="105">
        <v>1</v>
      </c>
      <c r="Y51" s="75" t="str">
        <f>IF(ISERROR(VLOOKUP($A51,deadlines!$B$2:$H$52,Y$1,FALSE)),"dk",IF(ISERROR(VLOOKUP($A51,deadlines!$B$2:$H$52,Y$1,FALSE)+1),"","Y"))</f>
        <v/>
      </c>
      <c r="Z51" s="75" t="str">
        <f>IF(ISERROR(VLOOKUP($A51,deadlines!$B$2:$H$52,Z$1,FALSE)),"dk",IF(ISERROR(VLOOKUP($A51,deadlines!$B$2:$H$52,Z$1,FALSE)+1),"","Y"))</f>
        <v/>
      </c>
      <c r="AA51" s="75" t="str">
        <f>IF(ISERROR(VLOOKUP($A51,deadlines!$B$2:$H$52,AA$1,FALSE)),"dk",IF(ISERROR(VLOOKUP($A51,deadlines!$B$2:$H$52,AA$1,FALSE)+1),"","Y"))</f>
        <v>Y</v>
      </c>
      <c r="AB51" s="95" t="str">
        <f>IF(ISERROR(VLOOKUP($A51,deadlines!$B$2:$H$52,AB$1,FALSE)),"",VLOOKUP($A51,deadlines!$B$2:$H$52,AB$1,FALSE))</f>
        <v>n/a</v>
      </c>
      <c r="AC51" s="28"/>
      <c r="AD51" s="30"/>
      <c r="AE51" s="29"/>
      <c r="AF51" s="105">
        <v>170976</v>
      </c>
      <c r="AG51" s="29">
        <v>71</v>
      </c>
    </row>
    <row r="52" spans="1:33" x14ac:dyDescent="0.35">
      <c r="A52" s="29" t="str">
        <f>VLOOKUP($AF52,raw!$A$1:$CA$193,61,FALSE)</f>
        <v>Pitzer College</v>
      </c>
      <c r="B52" s="136"/>
      <c r="C52" s="136"/>
      <c r="D52" s="137"/>
      <c r="E52" s="137"/>
      <c r="F52" s="74" t="str">
        <f>VLOOKUP($AF52,raw!$A$1:$CA$193,F$2,FALSE)</f>
        <v>Claremont</v>
      </c>
      <c r="G52" s="124" t="str">
        <f>VLOOKUP($AF52,raw!$A$1:$CA$193,G$2,FALSE)</f>
        <v>CA</v>
      </c>
      <c r="H52" s="74" t="str">
        <f>VLOOKUP($AF52,raw!$A$1:$CA$193,H$2,FALSE)</f>
        <v>Suburb: Large</v>
      </c>
      <c r="I52" s="125" t="str">
        <f>CONCATENATE(VLOOKUP($AF52,raw!$A$1:$BZ$193,I$2,FALSE)," - ",VLOOKUP($AF52,raw!$A$1:$BZ$193,I$2+2,FALSE))</f>
        <v xml:space="preserve"> - </v>
      </c>
      <c r="J52" s="126" t="str">
        <f>CONCATENATE(VLOOKUP($AF52,raw!$A$1:$BZ$193,J$2,FALSE)," - ",VLOOKUP($AF52,raw!$A$1:$BZ$193,J$2+2,FALSE))</f>
        <v xml:space="preserve"> - </v>
      </c>
      <c r="K52" s="127">
        <f>VLOOKUP($AF52,raw!$A$1:$BZ$193,K$2,FALSE)</f>
        <v>3464</v>
      </c>
      <c r="L52" s="128">
        <f>VLOOKUP($AF52,raw!$A$1:$BZ$193,L$2,FALSE)</f>
        <v>577</v>
      </c>
      <c r="M52" s="129">
        <f>VLOOKUP($AF52,raw!$A$1:$BZ$193,M$2,FALSE)/100</f>
        <v>0.17</v>
      </c>
      <c r="N52" s="130">
        <f>VLOOKUP($AF52,raw!$A$1:$BZ$193,N$2,FALSE)/K52</f>
        <v>0.34353348729792149</v>
      </c>
      <c r="O52" s="79">
        <f>IF(N52&gt;0,(VLOOKUP($AF52,raw!$A$1:$BZ$193,O$2,FALSE)/(L52*N52)-0),1)</f>
        <v>1.0745700013107495</v>
      </c>
      <c r="P52" s="80">
        <f>VLOOKUP($AF52,raw!$A$1:$BZ$193,P$2,FALSE)/K52</f>
        <v>0.59324480369515009</v>
      </c>
      <c r="Q52" s="79">
        <f>IF(P52&gt;0,(VLOOKUP($AF52,raw!$A$1:$BZ$193,Q$2,FALSE)/(L52*P52)-0),1)</f>
        <v>0.91731795046954012</v>
      </c>
      <c r="R52" s="128">
        <f>VLOOKUP($AF52,raw!$A$1:$BZ$193,R$2,FALSE)</f>
        <v>275</v>
      </c>
      <c r="S52" s="131" t="str">
        <f t="shared" si="1"/>
        <v>s</v>
      </c>
      <c r="T52" s="74"/>
      <c r="U52" s="74"/>
      <c r="V52" s="132"/>
      <c r="W52" s="106"/>
      <c r="X52" s="106"/>
      <c r="Y52" s="74" t="str">
        <f>IF(ISERROR(VLOOKUP($A52,deadlines!$B$2:$H$52,Y$1,FALSE)),"dk",IF(ISERROR(VLOOKUP($A52,deadlines!$B$2:$H$52,Y$1,FALSE)+1),"","Y"))</f>
        <v>dk</v>
      </c>
      <c r="Z52" s="74" t="str">
        <f>IF(ISERROR(VLOOKUP($A52,deadlines!$B$2:$H$52,Z$1,FALSE)),"dk",IF(ISERROR(VLOOKUP($A52,deadlines!$B$2:$H$52,Z$1,FALSE)+1),"","Y"))</f>
        <v>dk</v>
      </c>
      <c r="AA52" s="74" t="str">
        <f>IF(ISERROR(VLOOKUP($A52,deadlines!$B$2:$H$52,AA$1,FALSE)),"dk",IF(ISERROR(VLOOKUP($A52,deadlines!$B$2:$H$52,AA$1,FALSE)+1),"","Y"))</f>
        <v>dk</v>
      </c>
      <c r="AB52" s="80" t="str">
        <f>IF(ISERROR(VLOOKUP($A52,deadlines!$B$2:$H$52,AB$1,FALSE)),"",VLOOKUP($A52,deadlines!$B$2:$H$52,AB$1,FALSE))</f>
        <v/>
      </c>
      <c r="AC52" s="123"/>
      <c r="AD52" s="124"/>
      <c r="AE52" s="29"/>
      <c r="AF52" s="105">
        <v>121257</v>
      </c>
      <c r="AG52" s="29">
        <v>48</v>
      </c>
    </row>
    <row r="53" spans="1:33" x14ac:dyDescent="0.35">
      <c r="A53" s="29" t="str">
        <f>VLOOKUP($AF53,raw!$A$1:$CA$193,61,FALSE)</f>
        <v>Carleton College</v>
      </c>
      <c r="B53" s="136"/>
      <c r="C53" s="136"/>
      <c r="D53" s="137"/>
      <c r="E53" s="137"/>
      <c r="F53" s="136" t="str">
        <f>VLOOKUP($AF53,raw!$A$1:$CA$193,F$2,FALSE)</f>
        <v>Northfield</v>
      </c>
      <c r="G53" s="138" t="str">
        <f>VLOOKUP($AF53,raw!$A$1:$CA$193,G$2,FALSE)</f>
        <v>MN</v>
      </c>
      <c r="H53" s="136" t="str">
        <f>VLOOKUP($AF53,raw!$A$1:$CA$193,H$2,FALSE)</f>
        <v>Town: Distant</v>
      </c>
      <c r="I53" s="140" t="str">
        <f>CONCATENATE(VLOOKUP($AF53,raw!$A$1:$BZ$193,I$2,FALSE)," - ",VLOOKUP($AF53,raw!$A$1:$BZ$193,I$2+2,FALSE))</f>
        <v>710 - 760</v>
      </c>
      <c r="J53" s="141" t="str">
        <f>CONCATENATE(VLOOKUP($AF53,raw!$A$1:$BZ$193,J$2,FALSE)," - ",VLOOKUP($AF53,raw!$A$1:$BZ$193,J$2+2,FALSE))</f>
        <v>720 - 790</v>
      </c>
      <c r="K53" s="142">
        <f>VLOOKUP($AF53,raw!$A$1:$BZ$193,K$2,FALSE)</f>
        <v>6464</v>
      </c>
      <c r="L53" s="143">
        <f>VLOOKUP($AF53,raw!$A$1:$BZ$193,L$2,FALSE)</f>
        <v>1440</v>
      </c>
      <c r="M53" s="144">
        <f>VLOOKUP($AF53,raw!$A$1:$BZ$193,M$2,FALSE)/100</f>
        <v>0.22</v>
      </c>
      <c r="N53" s="145">
        <f>VLOOKUP($AF53,raw!$A$1:$BZ$193,N$2,FALSE)/K53</f>
        <v>0.50309405940594054</v>
      </c>
      <c r="O53" s="146">
        <f>IF(N53&gt;0,(VLOOKUP($AF53,raw!$A$1:$BZ$193,O$2,FALSE)/(L53*N53)-0),1)</f>
        <v>0.92207188738554069</v>
      </c>
      <c r="P53" s="147">
        <f>VLOOKUP($AF53,raw!$A$1:$BZ$193,P$2,FALSE)/K53</f>
        <v>0.4969059405940594</v>
      </c>
      <c r="Q53" s="146">
        <f>IF(P53&gt;0,(VLOOKUP($AF53,raw!$A$1:$BZ$193,Q$2,FALSE)/(L53*P53)-0),1)</f>
        <v>1.0788985747889857</v>
      </c>
      <c r="R53" s="143">
        <f>VLOOKUP($AF53,raw!$A$1:$BZ$193,R$2,FALSE)</f>
        <v>538</v>
      </c>
      <c r="S53" s="148" t="str">
        <f t="shared" si="1"/>
        <v>s</v>
      </c>
      <c r="T53" s="135"/>
      <c r="U53" s="136"/>
      <c r="V53" s="149" t="s">
        <v>425</v>
      </c>
      <c r="W53" s="150">
        <v>1</v>
      </c>
      <c r="X53" s="150"/>
      <c r="Y53" s="135" t="str">
        <f>IF(ISERROR(VLOOKUP($A53,deadlines!$B$2:$H$52,Y$1,FALSE)),"dk",IF(ISERROR(VLOOKUP($A53,deadlines!$B$2:$H$52,Y$1,FALSE)+1),"","Y"))</f>
        <v>Y</v>
      </c>
      <c r="Z53" s="135" t="str">
        <f>IF(ISERROR(VLOOKUP($A53,deadlines!$B$2:$H$52,Z$1,FALSE)),"dk",IF(ISERROR(VLOOKUP($A53,deadlines!$B$2:$H$52,Z$1,FALSE)+1),"","Y"))</f>
        <v/>
      </c>
      <c r="AA53" s="135" t="str">
        <f>IF(ISERROR(VLOOKUP($A53,deadlines!$B$2:$H$52,AA$1,FALSE)),"dk",IF(ISERROR(VLOOKUP($A53,deadlines!$B$2:$H$52,AA$1,FALSE)+1),"","Y"))</f>
        <v/>
      </c>
      <c r="AB53" s="147">
        <f>IF(ISERROR(VLOOKUP($A53,deadlines!$B$2:$H$52,AB$1,FALSE)),"",VLOOKUP($A53,deadlines!$B$2:$H$52,AB$1,FALSE))</f>
        <v>0.39</v>
      </c>
      <c r="AC53" s="139"/>
      <c r="AD53" s="138"/>
      <c r="AE53" s="29"/>
      <c r="AF53" s="105">
        <v>173258</v>
      </c>
      <c r="AG53" s="29">
        <v>13</v>
      </c>
    </row>
    <row r="54" spans="1:33" x14ac:dyDescent="0.35">
      <c r="A54" s="29" t="str">
        <f>VLOOKUP($AF54,raw!$A$1:$CA$193,61,FALSE)</f>
        <v>Vassar College</v>
      </c>
      <c r="B54" s="136"/>
      <c r="C54" s="136"/>
      <c r="D54" s="137"/>
      <c r="E54" s="137"/>
      <c r="F54" s="136" t="str">
        <f>VLOOKUP($AF54,raw!$A$1:$CA$193,F$2,FALSE)</f>
        <v>Poughkeepsie</v>
      </c>
      <c r="G54" s="138" t="str">
        <f>VLOOKUP($AF54,raw!$A$1:$CA$193,G$2,FALSE)</f>
        <v>NY</v>
      </c>
      <c r="H54" s="136" t="str">
        <f>VLOOKUP($AF54,raw!$A$1:$CA$193,H$2,FALSE)</f>
        <v>Suburb: Large</v>
      </c>
      <c r="I54" s="140" t="str">
        <f>CONCATENATE(VLOOKUP($AF54,raw!$A$1:$BZ$193,I$2,FALSE)," - ",VLOOKUP($AF54,raw!$A$1:$BZ$193,I$2+2,FALSE))</f>
        <v>720 - 770</v>
      </c>
      <c r="J54" s="141" t="str">
        <f>CONCATENATE(VLOOKUP($AF54,raw!$A$1:$BZ$193,J$2,FALSE)," - ",VLOOKUP($AF54,raw!$A$1:$BZ$193,J$2+2,FALSE))</f>
        <v>715 - 780</v>
      </c>
      <c r="K54" s="142">
        <f>VLOOKUP($AF54,raw!$A$1:$BZ$193,K$2,FALSE)</f>
        <v>12145</v>
      </c>
      <c r="L54" s="143">
        <f>VLOOKUP($AF54,raw!$A$1:$BZ$193,L$2,FALSE)</f>
        <v>2153</v>
      </c>
      <c r="M54" s="144">
        <f>VLOOKUP($AF54,raw!$A$1:$BZ$193,M$2,FALSE)/100</f>
        <v>0.18</v>
      </c>
      <c r="N54" s="145">
        <f>VLOOKUP($AF54,raw!$A$1:$BZ$193,N$2,FALSE)/K54</f>
        <v>0.32548373816385345</v>
      </c>
      <c r="O54" s="146">
        <f>IF(N54&gt;0,(VLOOKUP($AF54,raw!$A$1:$BZ$193,O$2,FALSE)/(L54*N54)-0),1)</f>
        <v>1.2172385727373272</v>
      </c>
      <c r="P54" s="147">
        <f>VLOOKUP($AF54,raw!$A$1:$BZ$193,P$2,FALSE)/K54</f>
        <v>0.67451626183614655</v>
      </c>
      <c r="Q54" s="146">
        <f>IF(P54&gt;0,(VLOOKUP($AF54,raw!$A$1:$BZ$193,Q$2,FALSE)/(L54*P54)-0),1)</f>
        <v>0.89517284203727354</v>
      </c>
      <c r="R54" s="143">
        <f>VLOOKUP($AF54,raw!$A$1:$BZ$193,R$2,FALSE)</f>
        <v>689</v>
      </c>
      <c r="S54" s="148" t="str">
        <f t="shared" si="1"/>
        <v>s</v>
      </c>
      <c r="T54" s="135"/>
      <c r="U54" s="136"/>
      <c r="V54" s="149"/>
      <c r="W54" s="150"/>
      <c r="X54" s="150"/>
      <c r="Y54" s="136" t="str">
        <f>IF(ISERROR(VLOOKUP($A54,deadlines!$B$2:$H$52,Y$1,FALSE)),"dk",IF(ISERROR(VLOOKUP($A54,deadlines!$B$2:$H$52,Y$1,FALSE)+1),"","Y"))</f>
        <v>dk</v>
      </c>
      <c r="Z54" s="136" t="str">
        <f>IF(ISERROR(VLOOKUP($A54,deadlines!$B$2:$H$52,Z$1,FALSE)),"dk",IF(ISERROR(VLOOKUP($A54,deadlines!$B$2:$H$52,Z$1,FALSE)+1),"","Y"))</f>
        <v>dk</v>
      </c>
      <c r="AA54" s="136" t="str">
        <f>IF(ISERROR(VLOOKUP($A54,deadlines!$B$2:$H$52,AA$1,FALSE)),"dk",IF(ISERROR(VLOOKUP($A54,deadlines!$B$2:$H$52,AA$1,FALSE)+1),"","Y"))</f>
        <v>dk</v>
      </c>
      <c r="AB54" s="147" t="str">
        <f>IF(ISERROR(VLOOKUP($A54,deadlines!$B$2:$H$52,AB$1,FALSE)),"",VLOOKUP($A54,deadlines!$B$2:$H$52,AB$1,FALSE))</f>
        <v/>
      </c>
      <c r="AC54" s="139"/>
      <c r="AD54" s="138"/>
      <c r="AE54" s="29"/>
      <c r="AF54" s="105">
        <v>197133</v>
      </c>
      <c r="AG54" s="29">
        <v>103</v>
      </c>
    </row>
    <row r="55" spans="1:33" x14ac:dyDescent="0.35">
      <c r="A55" s="29" t="str">
        <f>VLOOKUP($AF55,raw!$A$1:$CA$193,61,FALSE)</f>
        <v>University of Miami</v>
      </c>
      <c r="B55" s="136"/>
      <c r="C55" s="136"/>
      <c r="D55" s="137"/>
      <c r="E55" s="137"/>
      <c r="F55" s="73" t="str">
        <f>VLOOKUP($AF55,raw!$A$1:$CA$193,F$2,FALSE)</f>
        <v>Coral Gables</v>
      </c>
      <c r="G55" s="45" t="str">
        <f>VLOOKUP($AF55,raw!$A$1:$CA$193,G$2,FALSE)</f>
        <v>FL</v>
      </c>
      <c r="H55" s="73" t="str">
        <f>VLOOKUP($AF55,raw!$A$1:$CA$193,H$2,FALSE)</f>
        <v>Suburb: Large</v>
      </c>
      <c r="I55" s="59" t="str">
        <f>CONCATENATE(VLOOKUP($AF55,raw!$A$1:$BZ$193,I$2,FALSE)," - ",VLOOKUP($AF55,raw!$A$1:$BZ$193,I$2+2,FALSE))</f>
        <v>660 - 720</v>
      </c>
      <c r="J55" s="60" t="str">
        <f>CONCATENATE(VLOOKUP($AF55,raw!$A$1:$BZ$193,J$2,FALSE)," - ",VLOOKUP($AF55,raw!$A$1:$BZ$193,J$2+2,FALSE))</f>
        <v>670 - 750</v>
      </c>
      <c r="K55" s="54">
        <f>VLOOKUP($AF55,raw!$A$1:$BZ$193,K$2,FALSE)</f>
        <v>48286</v>
      </c>
      <c r="L55" s="51">
        <f>VLOOKUP($AF55,raw!$A$1:$BZ$193,L$2,FALSE)</f>
        <v>8940</v>
      </c>
      <c r="M55" s="66">
        <f>VLOOKUP($AF55,raw!$A$1:$BZ$193,M$2,FALSE)/100</f>
        <v>0.19</v>
      </c>
      <c r="N55" s="63">
        <f>VLOOKUP($AF55,raw!$A$1:$BZ$193,N$2,FALSE)/K55</f>
        <v>0.41040881414902869</v>
      </c>
      <c r="O55" s="78">
        <f>IF(N55&gt;0,(VLOOKUP($AF55,raw!$A$1:$BZ$193,O$2,FALSE)/(L55*N55)-0),1)</f>
        <v>1.1801404551873356</v>
      </c>
      <c r="P55" s="47">
        <f>VLOOKUP($AF55,raw!$A$1:$BZ$193,P$2,FALSE)/K55</f>
        <v>0.58959118585097126</v>
      </c>
      <c r="Q55" s="78">
        <f>IF(P55&gt;0,(VLOOKUP($AF55,raw!$A$1:$BZ$193,Q$2,FALSE)/(L55*P55)-0),1)</f>
        <v>0.87460594329103847</v>
      </c>
      <c r="R55" s="51">
        <f>VLOOKUP($AF55,raw!$A$1:$BZ$193,R$2,FALSE)</f>
        <v>2328</v>
      </c>
      <c r="S55" s="48" t="str">
        <f t="shared" si="1"/>
        <v>l</v>
      </c>
      <c r="T55" s="73"/>
      <c r="U55" s="73"/>
      <c r="V55" s="111"/>
      <c r="W55" s="104"/>
      <c r="X55" s="104"/>
      <c r="Y55" s="73" t="str">
        <f>IF(ISERROR(VLOOKUP($A55,deadlines!$B$2:$H$52,Y$1,FALSE)),"dk",IF(ISERROR(VLOOKUP($A55,deadlines!$B$2:$H$52,Y$1,FALSE)+1),"","Y"))</f>
        <v>dk</v>
      </c>
      <c r="Z55" s="73" t="str">
        <f>IF(ISERROR(VLOOKUP($A55,deadlines!$B$2:$H$52,Z$1,FALSE)),"dk",IF(ISERROR(VLOOKUP($A55,deadlines!$B$2:$H$52,Z$1,FALSE)+1),"","Y"))</f>
        <v>dk</v>
      </c>
      <c r="AA55" s="73" t="str">
        <f>IF(ISERROR(VLOOKUP($A55,deadlines!$B$2:$H$52,AA$1,FALSE)),"dk",IF(ISERROR(VLOOKUP($A55,deadlines!$B$2:$H$52,AA$1,FALSE)+1),"","Y"))</f>
        <v>dk</v>
      </c>
      <c r="AB55" s="47" t="str">
        <f>IF(ISERROR(VLOOKUP($A55,deadlines!$B$2:$H$52,AB$1,FALSE)),"",VLOOKUP($A55,deadlines!$B$2:$H$52,AB$1,FALSE))</f>
        <v/>
      </c>
      <c r="AC55" s="44"/>
      <c r="AD55" s="45"/>
      <c r="AE55" s="29"/>
      <c r="AF55" s="105">
        <v>135726</v>
      </c>
      <c r="AG55" s="29">
        <v>70</v>
      </c>
    </row>
    <row r="56" spans="1:33" x14ac:dyDescent="0.35">
      <c r="A56" s="29" t="str">
        <f>VLOOKUP($AF56,raw!$A$1:$CA$193,61,FALSE)</f>
        <v>Wake Forest University</v>
      </c>
      <c r="B56" s="136"/>
      <c r="C56" s="136"/>
      <c r="D56" s="137"/>
      <c r="E56" s="137"/>
      <c r="F56" s="29" t="str">
        <f>VLOOKUP($AF56,raw!$A$1:$CA$193,F$2,FALSE)</f>
        <v>Winston-Salem</v>
      </c>
      <c r="G56" s="30" t="str">
        <f>VLOOKUP($AF56,raw!$A$1:$CA$193,G$2,FALSE)</f>
        <v>NC</v>
      </c>
      <c r="H56" s="29" t="str">
        <f>VLOOKUP($AF56,raw!$A$1:$CA$193,H$2,FALSE)</f>
        <v>City: Large</v>
      </c>
      <c r="I56" s="57" t="str">
        <f>CONCATENATE(VLOOKUP($AF56,raw!$A$1:$BZ$193,I$2,FALSE)," - ",VLOOKUP($AF56,raw!$A$1:$BZ$193,I$2+2,FALSE))</f>
        <v>690 - 740</v>
      </c>
      <c r="J56" s="58" t="str">
        <f>CONCATENATE(VLOOKUP($AF56,raw!$A$1:$BZ$193,J$2,FALSE)," - ",VLOOKUP($AF56,raw!$A$1:$BZ$193,J$2+2,FALSE))</f>
        <v>700 - 770</v>
      </c>
      <c r="K56" s="53">
        <f>VLOOKUP($AF56,raw!$A$1:$BZ$193,K$2,FALSE)</f>
        <v>17479</v>
      </c>
      <c r="L56" s="50">
        <f>VLOOKUP($AF56,raw!$A$1:$BZ$193,L$2,FALSE)</f>
        <v>3768</v>
      </c>
      <c r="M56" s="65">
        <f>VLOOKUP($AF56,raw!$A$1:$BZ$193,M$2,FALSE)/100</f>
        <v>0.22</v>
      </c>
      <c r="N56" s="62">
        <f>VLOOKUP($AF56,raw!$A$1:$BZ$193,N$2,FALSE)/K56</f>
        <v>0.44991132215801821</v>
      </c>
      <c r="O56" s="77">
        <f>IF(N56&gt;0,(VLOOKUP($AF56,raw!$A$1:$BZ$193,O$2,FALSE)/(L56*N56)-0),1)</f>
        <v>1.0328763407330133</v>
      </c>
      <c r="P56" s="36">
        <f>VLOOKUP($AF56,raw!$A$1:$BZ$193,P$2,FALSE)/K56</f>
        <v>0.54997425482006979</v>
      </c>
      <c r="Q56" s="77">
        <f>IF(P56&gt;0,(VLOOKUP($AF56,raw!$A$1:$BZ$193,Q$2,FALSE)/(L56*P56)-0),1)</f>
        <v>0.97331326916421357</v>
      </c>
      <c r="R56" s="50">
        <f>VLOOKUP($AF56,raw!$A$1:$BZ$193,R$2,FALSE)</f>
        <v>1385</v>
      </c>
      <c r="S56" s="40" t="str">
        <f t="shared" si="1"/>
        <v>m</v>
      </c>
      <c r="T56" s="29"/>
      <c r="U56" s="29"/>
      <c r="V56" s="110" t="s">
        <v>426</v>
      </c>
      <c r="W56" s="105">
        <v>1</v>
      </c>
      <c r="X56" s="105"/>
      <c r="Y56" s="29" t="str">
        <f>IF(ISERROR(VLOOKUP($A56,deadlines!$B$2:$H$52,Y$1,FALSE)),"dk",IF(ISERROR(VLOOKUP($A56,deadlines!$B$2:$H$52,Y$1,FALSE)+1),"","Y"))</f>
        <v>dk</v>
      </c>
      <c r="Z56" s="29" t="str">
        <f>IF(ISERROR(VLOOKUP($A56,deadlines!$B$2:$H$52,Z$1,FALSE)),"dk",IF(ISERROR(VLOOKUP($A56,deadlines!$B$2:$H$52,Z$1,FALSE)+1),"","Y"))</f>
        <v>dk</v>
      </c>
      <c r="AA56" s="29" t="str">
        <f>IF(ISERROR(VLOOKUP($A56,deadlines!$B$2:$H$52,AA$1,FALSE)),"dk",IF(ISERROR(VLOOKUP($A56,deadlines!$B$2:$H$52,AA$1,FALSE)+1),"","Y"))</f>
        <v>dk</v>
      </c>
      <c r="AB56" s="36" t="str">
        <f>IF(ISERROR(VLOOKUP($A56,deadlines!$B$2:$H$52,AB$1,FALSE)),"",VLOOKUP($A56,deadlines!$B$2:$H$52,AB$1,FALSE))</f>
        <v/>
      </c>
      <c r="AC56" s="28"/>
      <c r="AD56" s="30"/>
      <c r="AE56" s="29"/>
      <c r="AF56" s="105">
        <v>199847</v>
      </c>
      <c r="AG56" s="29">
        <v>86</v>
      </c>
    </row>
    <row r="57" spans="1:33" x14ac:dyDescent="0.35">
      <c r="A57" s="29" t="str">
        <f>VLOOKUP($AF57,raw!$A$1:$CA$193,61,FALSE)</f>
        <v>Denison University</v>
      </c>
      <c r="B57" s="136"/>
      <c r="C57" s="136"/>
      <c r="D57" s="137"/>
      <c r="E57" s="137"/>
      <c r="F57" s="29" t="str">
        <f>VLOOKUP($AF57,raw!$A$1:$CA$193,F$2,FALSE)</f>
        <v>Granville</v>
      </c>
      <c r="G57" s="30" t="str">
        <f>VLOOKUP($AF57,raw!$A$1:$CA$193,G$2,FALSE)</f>
        <v>OH</v>
      </c>
      <c r="H57" s="29" t="str">
        <f>VLOOKUP($AF57,raw!$A$1:$CA$193,H$2,FALSE)</f>
        <v>Suburb: Small</v>
      </c>
      <c r="I57" s="57" t="str">
        <f>CONCATENATE(VLOOKUP($AF57,raw!$A$1:$BZ$193,I$2,FALSE)," - ",VLOOKUP($AF57,raw!$A$1:$BZ$193,I$2+2,FALSE))</f>
        <v>650 - 710</v>
      </c>
      <c r="J57" s="58" t="str">
        <f>CONCATENATE(VLOOKUP($AF57,raw!$A$1:$BZ$193,J$2,FALSE)," - ",VLOOKUP($AF57,raw!$A$1:$BZ$193,J$2+2,FALSE))</f>
        <v>650 - 760</v>
      </c>
      <c r="K57" s="53">
        <f>VLOOKUP($AF57,raw!$A$1:$BZ$193,K$2,FALSE)</f>
        <v>14580</v>
      </c>
      <c r="L57" s="50">
        <f>VLOOKUP($AF57,raw!$A$1:$BZ$193,L$2,FALSE)</f>
        <v>2468</v>
      </c>
      <c r="M57" s="65">
        <f>VLOOKUP($AF57,raw!$A$1:$BZ$193,M$2,FALSE)/100</f>
        <v>0.17</v>
      </c>
      <c r="N57" s="62">
        <f>VLOOKUP($AF57,raw!$A$1:$BZ$193,N$2,FALSE)/K57</f>
        <v>0.48209876543209879</v>
      </c>
      <c r="O57" s="77">
        <f>IF(N57&gt;0,(VLOOKUP($AF57,raw!$A$1:$BZ$193,O$2,FALSE)/(L57*N57)-0),1)</f>
        <v>0.93291441591941515</v>
      </c>
      <c r="P57" s="36">
        <f>VLOOKUP($AF57,raw!$A$1:$BZ$193,P$2,FALSE)/K57</f>
        <v>0.51790123456790127</v>
      </c>
      <c r="Q57" s="77">
        <f>IF(P57&gt;0,(VLOOKUP($AF57,raw!$A$1:$BZ$193,Q$2,FALSE)/(L57*P57)-0),1)</f>
        <v>1.0624479632502226</v>
      </c>
      <c r="R57" s="50">
        <f>VLOOKUP($AF57,raw!$A$1:$BZ$193,R$2,FALSE)</f>
        <v>636</v>
      </c>
      <c r="S57" s="40" t="str">
        <f t="shared" si="1"/>
        <v>s</v>
      </c>
      <c r="T57" s="29"/>
      <c r="U57" s="29"/>
      <c r="V57" s="110"/>
      <c r="W57" s="105"/>
      <c r="X57" s="105"/>
      <c r="Y57" s="29" t="str">
        <f>IF(ISERROR(VLOOKUP($A57,deadlines!$B$2:$H$52,Y$1,FALSE)),"dk",IF(ISERROR(VLOOKUP($A57,deadlines!$B$2:$H$52,Y$1,FALSE)+1),"","Y"))</f>
        <v>dk</v>
      </c>
      <c r="Z57" s="29" t="str">
        <f>IF(ISERROR(VLOOKUP($A57,deadlines!$B$2:$H$52,Z$1,FALSE)),"dk",IF(ISERROR(VLOOKUP($A57,deadlines!$B$2:$H$52,Z$1,FALSE)+1),"","Y"))</f>
        <v>dk</v>
      </c>
      <c r="AA57" s="29" t="str">
        <f>IF(ISERROR(VLOOKUP($A57,deadlines!$B$2:$H$52,AA$1,FALSE)),"dk",IF(ISERROR(VLOOKUP($A57,deadlines!$B$2:$H$52,AA$1,FALSE)+1),"","Y"))</f>
        <v>dk</v>
      </c>
      <c r="AB57" s="36" t="str">
        <f>IF(ISERROR(VLOOKUP($A57,deadlines!$B$2:$H$52,AB$1,FALSE)),"",VLOOKUP($A57,deadlines!$B$2:$H$52,AB$1,FALSE))</f>
        <v/>
      </c>
      <c r="AC57" s="28"/>
      <c r="AD57" s="30"/>
      <c r="AE57" s="29"/>
      <c r="AF57" s="105">
        <v>202523</v>
      </c>
      <c r="AG57" s="29">
        <v>25</v>
      </c>
    </row>
    <row r="58" spans="1:33" x14ac:dyDescent="0.35">
      <c r="A58" s="29" t="str">
        <f>VLOOKUP($AF58,raw!$A$1:$CA$193,61,FALSE)</f>
        <v>Smith College</v>
      </c>
      <c r="B58" s="136"/>
      <c r="C58" s="136"/>
      <c r="D58" s="137"/>
      <c r="E58" s="137"/>
      <c r="F58" s="29" t="str">
        <f>VLOOKUP($AF58,raw!$A$1:$CA$193,F$2,FALSE)</f>
        <v>Northampton</v>
      </c>
      <c r="G58" s="30" t="str">
        <f>VLOOKUP($AF58,raw!$A$1:$CA$193,G$2,FALSE)</f>
        <v>MA</v>
      </c>
      <c r="H58" s="29" t="str">
        <f>VLOOKUP($AF58,raw!$A$1:$CA$193,H$2,FALSE)</f>
        <v>City: Small</v>
      </c>
      <c r="I58" s="57" t="str">
        <f>CONCATENATE(VLOOKUP($AF58,raw!$A$1:$BZ$193,I$2,FALSE)," - ",VLOOKUP($AF58,raw!$A$1:$BZ$193,I$2+2,FALSE))</f>
        <v>718 - 770</v>
      </c>
      <c r="J58" s="58" t="str">
        <f>CONCATENATE(VLOOKUP($AF58,raw!$A$1:$BZ$193,J$2,FALSE)," - ",VLOOKUP($AF58,raw!$A$1:$BZ$193,J$2+2,FALSE))</f>
        <v>690 - 770</v>
      </c>
      <c r="K58" s="53">
        <f>VLOOKUP($AF58,raw!$A$1:$BZ$193,K$2,FALSE)</f>
        <v>9869</v>
      </c>
      <c r="L58" s="50">
        <f>VLOOKUP($AF58,raw!$A$1:$BZ$193,L$2,FALSE)</f>
        <v>1947</v>
      </c>
      <c r="M58" s="65">
        <f>VLOOKUP($AF58,raw!$A$1:$BZ$193,M$2,FALSE)/100</f>
        <v>0.2</v>
      </c>
      <c r="N58" s="62">
        <f>VLOOKUP($AF58,raw!$A$1:$BZ$193,N$2,FALSE)/K58</f>
        <v>0</v>
      </c>
      <c r="O58" s="77">
        <f>IF(N58&gt;0,(VLOOKUP($AF58,raw!$A$1:$BZ$193,O$2,FALSE)/(L58*N58)-0),1)</f>
        <v>1</v>
      </c>
      <c r="P58" s="36">
        <f>VLOOKUP($AF58,raw!$A$1:$BZ$193,P$2,FALSE)/K58</f>
        <v>1</v>
      </c>
      <c r="Q58" s="77">
        <f>IF(P58&gt;0,(VLOOKUP($AF58,raw!$A$1:$BZ$193,Q$2,FALSE)/(L58*P58)-0),1)</f>
        <v>1</v>
      </c>
      <c r="R58" s="50">
        <f>VLOOKUP($AF58,raw!$A$1:$BZ$193,R$2,FALSE)</f>
        <v>649</v>
      </c>
      <c r="S58" s="40" t="str">
        <f t="shared" si="1"/>
        <v>s</v>
      </c>
      <c r="T58" s="75"/>
      <c r="U58" s="29"/>
      <c r="V58" s="110"/>
      <c r="W58" s="105"/>
      <c r="X58" s="105"/>
      <c r="Y58" s="29" t="str">
        <f>IF(ISERROR(VLOOKUP($A58,deadlines!$B$2:$H$52,Y$1,FALSE)),"dk",IF(ISERROR(VLOOKUP($A58,deadlines!$B$2:$H$52,Y$1,FALSE)+1),"","Y"))</f>
        <v>Y</v>
      </c>
      <c r="Z58" s="29" t="str">
        <f>IF(ISERROR(VLOOKUP($A58,deadlines!$B$2:$H$52,Z$1,FALSE)),"dk",IF(ISERROR(VLOOKUP($A58,deadlines!$B$2:$H$52,Z$1,FALSE)+1),"","Y"))</f>
        <v>Y</v>
      </c>
      <c r="AA58" s="29" t="str">
        <f>IF(ISERROR(VLOOKUP($A58,deadlines!$B$2:$H$52,AA$1,FALSE)),"dk",IF(ISERROR(VLOOKUP($A58,deadlines!$B$2:$H$52,AA$1,FALSE)+1),"","Y"))</f>
        <v/>
      </c>
      <c r="AB58" s="36">
        <f>IF(ISERROR(VLOOKUP($A58,deadlines!$B$2:$H$52,AB$1,FALSE)),"",VLOOKUP($A58,deadlines!$B$2:$H$52,AB$1,FALSE))</f>
        <v>0.33</v>
      </c>
      <c r="AC58" s="28"/>
      <c r="AD58" s="30"/>
      <c r="AE58" s="29"/>
      <c r="AF58" s="105">
        <v>167835</v>
      </c>
      <c r="AG58" s="29">
        <v>56</v>
      </c>
    </row>
    <row r="59" spans="1:33" x14ac:dyDescent="0.35">
      <c r="A59" s="29" t="str">
        <f>VLOOKUP($AF59,raw!$A$1:$CA$193,61,FALSE)</f>
        <v>Villanova University</v>
      </c>
      <c r="B59" s="136"/>
      <c r="C59" s="136"/>
      <c r="D59" s="137"/>
      <c r="E59" s="137"/>
      <c r="F59" s="29" t="str">
        <f>VLOOKUP($AF59,raw!$A$1:$CA$193,F$2,FALSE)</f>
        <v>Villanova</v>
      </c>
      <c r="G59" s="30" t="str">
        <f>VLOOKUP($AF59,raw!$A$1:$CA$193,G$2,FALSE)</f>
        <v>PA</v>
      </c>
      <c r="H59" s="29" t="str">
        <f>VLOOKUP($AF59,raw!$A$1:$CA$193,H$2,FALSE)</f>
        <v>Suburb: Large</v>
      </c>
      <c r="I59" s="57" t="str">
        <f>CONCATENATE(VLOOKUP($AF59,raw!$A$1:$BZ$193,I$2,FALSE)," - ",VLOOKUP($AF59,raw!$A$1:$BZ$193,I$2+2,FALSE))</f>
        <v>690 - 740</v>
      </c>
      <c r="J59" s="58" t="str">
        <f>CONCATENATE(VLOOKUP($AF59,raw!$A$1:$BZ$193,J$2,FALSE)," - ",VLOOKUP($AF59,raw!$A$1:$BZ$193,J$2+2,FALSE))</f>
        <v>710 - 770</v>
      </c>
      <c r="K59" s="53">
        <f>VLOOKUP($AF59,raw!$A$1:$BZ$193,K$2,FALSE)</f>
        <v>23127</v>
      </c>
      <c r="L59" s="50">
        <f>VLOOKUP($AF59,raw!$A$1:$BZ$193,L$2,FALSE)</f>
        <v>5810</v>
      </c>
      <c r="M59" s="65">
        <f>VLOOKUP($AF59,raw!$A$1:$BZ$193,M$2,FALSE)/100</f>
        <v>0.25</v>
      </c>
      <c r="N59" s="62">
        <f>VLOOKUP($AF59,raw!$A$1:$BZ$193,N$2,FALSE)/K59</f>
        <v>0.44272927746789464</v>
      </c>
      <c r="O59" s="77">
        <f>IF(N59&gt;0,(VLOOKUP($AF59,raw!$A$1:$BZ$193,O$2,FALSE)/(L59*N59)-0),1)</f>
        <v>1.0146730658770027</v>
      </c>
      <c r="P59" s="36">
        <f>VLOOKUP($AF59,raw!$A$1:$BZ$193,P$2,FALSE)/K59</f>
        <v>0.5572707225321053</v>
      </c>
      <c r="Q59" s="77">
        <f>IF(P59&gt;0,(VLOOKUP($AF59,raw!$A$1:$BZ$193,Q$2,FALSE)/(L59*P59)-0),1)</f>
        <v>0.98834283662983946</v>
      </c>
      <c r="R59" s="50">
        <f>VLOOKUP($AF59,raw!$A$1:$BZ$193,R$2,FALSE)</f>
        <v>1699</v>
      </c>
      <c r="S59" s="40" t="str">
        <f t="shared" si="1"/>
        <v>m</v>
      </c>
      <c r="T59" s="29"/>
      <c r="U59" s="29"/>
      <c r="V59" s="110"/>
      <c r="W59" s="105"/>
      <c r="X59" s="105"/>
      <c r="Y59" s="29" t="str">
        <f>IF(ISERROR(VLOOKUP($A59,deadlines!$B$2:$H$52,Y$1,FALSE)),"dk",IF(ISERROR(VLOOKUP($A59,deadlines!$B$2:$H$52,Y$1,FALSE)+1),"","Y"))</f>
        <v>dk</v>
      </c>
      <c r="Z59" s="29" t="str">
        <f>IF(ISERROR(VLOOKUP($A59,deadlines!$B$2:$H$52,Z$1,FALSE)),"dk",IF(ISERROR(VLOOKUP($A59,deadlines!$B$2:$H$52,Z$1,FALSE)+1),"","Y"))</f>
        <v>dk</v>
      </c>
      <c r="AA59" s="29" t="str">
        <f>IF(ISERROR(VLOOKUP($A59,deadlines!$B$2:$H$52,AA$1,FALSE)),"dk",IF(ISERROR(VLOOKUP($A59,deadlines!$B$2:$H$52,AA$1,FALSE)+1),"","Y"))</f>
        <v>dk</v>
      </c>
      <c r="AB59" s="36" t="str">
        <f>IF(ISERROR(VLOOKUP($A59,deadlines!$B$2:$H$52,AB$1,FALSE)),"",VLOOKUP($A59,deadlines!$B$2:$H$52,AB$1,FALSE))</f>
        <v/>
      </c>
      <c r="AC59" s="28"/>
      <c r="AD59" s="30"/>
      <c r="AE59" s="29"/>
      <c r="AF59" s="105">
        <v>216597</v>
      </c>
      <c r="AG59" s="29">
        <v>85</v>
      </c>
    </row>
    <row r="60" spans="1:33" x14ac:dyDescent="0.35">
      <c r="A60" s="29" t="str">
        <f>VLOOKUP($AF60,raw!$A$1:$CA$193,61,FALSE)</f>
        <v>University of Richmond</v>
      </c>
      <c r="B60" s="136"/>
      <c r="C60" s="136"/>
      <c r="D60" s="137"/>
      <c r="E60" s="137"/>
      <c r="F60" s="29" t="str">
        <f>VLOOKUP($AF60,raw!$A$1:$CA$193,F$2,FALSE)</f>
        <v>University of Richmond</v>
      </c>
      <c r="G60" s="30" t="str">
        <f>VLOOKUP($AF60,raw!$A$1:$CA$193,G$2,FALSE)</f>
        <v>VA</v>
      </c>
      <c r="H60" s="29" t="str">
        <f>VLOOKUP($AF60,raw!$A$1:$CA$193,H$2,FALSE)</f>
        <v>City: Midsize</v>
      </c>
      <c r="I60" s="57" t="str">
        <f>CONCATENATE(VLOOKUP($AF60,raw!$A$1:$BZ$193,I$2,FALSE)," - ",VLOOKUP($AF60,raw!$A$1:$BZ$193,I$2+2,FALSE))</f>
        <v>690 - 750</v>
      </c>
      <c r="J60" s="58" t="str">
        <f>CONCATENATE(VLOOKUP($AF60,raw!$A$1:$BZ$193,J$2,FALSE)," - ",VLOOKUP($AF60,raw!$A$1:$BZ$193,J$2+2,FALSE))</f>
        <v>720 - 780</v>
      </c>
      <c r="K60" s="53">
        <f>VLOOKUP($AF60,raw!$A$1:$BZ$193,K$2,FALSE)</f>
        <v>15121</v>
      </c>
      <c r="L60" s="50">
        <f>VLOOKUP($AF60,raw!$A$1:$BZ$193,L$2,FALSE)</f>
        <v>3525</v>
      </c>
      <c r="M60" s="65">
        <f>VLOOKUP($AF60,raw!$A$1:$BZ$193,M$2,FALSE)/100</f>
        <v>0.23</v>
      </c>
      <c r="N60" s="62">
        <f>VLOOKUP($AF60,raw!$A$1:$BZ$193,N$2,FALSE)/K60</f>
        <v>0.42841081939025194</v>
      </c>
      <c r="O60" s="77">
        <f>IF(N60&gt;0,(VLOOKUP($AF60,raw!$A$1:$BZ$193,O$2,FALSE)/(L60*N60)-0),1)</f>
        <v>1.0422818530366829</v>
      </c>
      <c r="P60" s="36">
        <f>VLOOKUP($AF60,raw!$A$1:$BZ$193,P$2,FALSE)/K60</f>
        <v>0.57158918060974806</v>
      </c>
      <c r="Q60" s="77">
        <f>IF(P60&gt;0,(VLOOKUP($AF60,raw!$A$1:$BZ$193,Q$2,FALSE)/(L60*P60)-0),1)</f>
        <v>0.96830940136854893</v>
      </c>
      <c r="R60" s="50">
        <f>VLOOKUP($AF60,raw!$A$1:$BZ$193,R$2,FALSE)</f>
        <v>832</v>
      </c>
      <c r="S60" s="40" t="str">
        <f t="shared" si="1"/>
        <v>s</v>
      </c>
      <c r="T60" s="29"/>
      <c r="U60" s="29"/>
      <c r="V60" s="110"/>
      <c r="W60" s="105"/>
      <c r="X60" s="105"/>
      <c r="Y60" s="29" t="str">
        <f>IF(ISERROR(VLOOKUP($A60,deadlines!$B$2:$H$52,Y$1,FALSE)),"dk",IF(ISERROR(VLOOKUP($A60,deadlines!$B$2:$H$52,Y$1,FALSE)+1),"","Y"))</f>
        <v>dk</v>
      </c>
      <c r="Z60" s="29" t="str">
        <f>IF(ISERROR(VLOOKUP($A60,deadlines!$B$2:$H$52,Z$1,FALSE)),"dk",IF(ISERROR(VLOOKUP($A60,deadlines!$B$2:$H$52,Z$1,FALSE)+1),"","Y"))</f>
        <v>dk</v>
      </c>
      <c r="AA60" s="29" t="str">
        <f>IF(ISERROR(VLOOKUP($A60,deadlines!$B$2:$H$52,AA$1,FALSE)),"dk",IF(ISERROR(VLOOKUP($A60,deadlines!$B$2:$H$52,AA$1,FALSE)+1),"","Y"))</f>
        <v>dk</v>
      </c>
      <c r="AB60" s="36" t="str">
        <f>IF(ISERROR(VLOOKUP($A60,deadlines!$B$2:$H$52,AB$1,FALSE)),"",VLOOKUP($A60,deadlines!$B$2:$H$52,AB$1,FALSE))</f>
        <v/>
      </c>
      <c r="AC60" s="28"/>
      <c r="AD60" s="30"/>
      <c r="AE60" s="29"/>
      <c r="AF60" s="105">
        <v>233374</v>
      </c>
      <c r="AG60" s="29">
        <v>75</v>
      </c>
    </row>
    <row r="61" spans="1:33" x14ac:dyDescent="0.35">
      <c r="A61" s="29" t="str">
        <f>VLOOKUP($AF61,raw!$A$1:$CA$193,61,FALSE)</f>
        <v>Skidmore College</v>
      </c>
      <c r="B61" s="136"/>
      <c r="C61" s="136"/>
      <c r="D61" s="137"/>
      <c r="E61" s="137"/>
      <c r="F61" s="29" t="str">
        <f>VLOOKUP($AF61,raw!$A$1:$CA$193,F$2,FALSE)</f>
        <v>Saratoga Springs</v>
      </c>
      <c r="G61" s="30" t="str">
        <f>VLOOKUP($AF61,raw!$A$1:$CA$193,G$2,FALSE)</f>
        <v>NY</v>
      </c>
      <c r="H61" s="29" t="str">
        <f>VLOOKUP($AF61,raw!$A$1:$CA$193,H$2,FALSE)</f>
        <v>Suburb: Small</v>
      </c>
      <c r="I61" s="57" t="str">
        <f>CONCATENATE(VLOOKUP($AF61,raw!$A$1:$BZ$193,I$2,FALSE)," - ",VLOOKUP($AF61,raw!$A$1:$BZ$193,I$2+2,FALSE))</f>
        <v>660 - 730</v>
      </c>
      <c r="J61" s="58" t="str">
        <f>CONCATENATE(VLOOKUP($AF61,raw!$A$1:$BZ$193,J$2,FALSE)," - ",VLOOKUP($AF61,raw!$A$1:$BZ$193,J$2+2,FALSE))</f>
        <v>640 - 730</v>
      </c>
      <c r="K61" s="53">
        <f>VLOOKUP($AF61,raw!$A$1:$BZ$193,K$2,FALSE)</f>
        <v>12144</v>
      </c>
      <c r="L61" s="50">
        <f>VLOOKUP($AF61,raw!$A$1:$BZ$193,L$2,FALSE)</f>
        <v>2784</v>
      </c>
      <c r="M61" s="65">
        <f>VLOOKUP($AF61,raw!$A$1:$BZ$193,M$2,FALSE)/100</f>
        <v>0.23</v>
      </c>
      <c r="N61" s="62">
        <f>VLOOKUP($AF61,raw!$A$1:$BZ$193,N$2,FALSE)/K61</f>
        <v>0.40497364953886694</v>
      </c>
      <c r="O61" s="77">
        <f>IF(N61&gt;0,(VLOOKUP($AF61,raw!$A$1:$BZ$193,O$2,FALSE)/(L61*N61)-0),1)</f>
        <v>1.0120212870384653</v>
      </c>
      <c r="P61" s="36">
        <f>VLOOKUP($AF61,raw!$A$1:$BZ$193,P$2,FALSE)/K61</f>
        <v>0.59502635046113306</v>
      </c>
      <c r="Q61" s="77">
        <f>IF(P61&gt;0,(VLOOKUP($AF61,raw!$A$1:$BZ$193,Q$2,FALSE)/(L61*P61)-0),1)</f>
        <v>0.99181833799402541</v>
      </c>
      <c r="R61" s="50">
        <f>VLOOKUP($AF61,raw!$A$1:$BZ$193,R$2,FALSE)</f>
        <v>734</v>
      </c>
      <c r="S61" s="40" t="str">
        <f t="shared" si="1"/>
        <v>s</v>
      </c>
      <c r="T61" s="75"/>
      <c r="U61" s="29"/>
      <c r="V61" s="110"/>
      <c r="W61" s="105"/>
      <c r="X61" s="105"/>
      <c r="Y61" s="29" t="str">
        <f>IF(ISERROR(VLOOKUP($A61,deadlines!$B$2:$H$52,Y$1,FALSE)),"dk",IF(ISERROR(VLOOKUP($A61,deadlines!$B$2:$H$52,Y$1,FALSE)+1),"","Y"))</f>
        <v>Y</v>
      </c>
      <c r="Z61" s="29" t="str">
        <f>IF(ISERROR(VLOOKUP($A61,deadlines!$B$2:$H$52,Z$1,FALSE)),"dk",IF(ISERROR(VLOOKUP($A61,deadlines!$B$2:$H$52,Z$1,FALSE)+1),"","Y"))</f>
        <v>Y</v>
      </c>
      <c r="AA61" s="29" t="str">
        <f>IF(ISERROR(VLOOKUP($A61,deadlines!$B$2:$H$52,AA$1,FALSE)),"dk",IF(ISERROR(VLOOKUP($A61,deadlines!$B$2:$H$52,AA$1,FALSE)+1),"","Y"))</f>
        <v/>
      </c>
      <c r="AB61" s="36" t="str">
        <f>IF(ISERROR(VLOOKUP($A61,deadlines!$B$2:$H$52,AB$1,FALSE)),"",VLOOKUP($A61,deadlines!$B$2:$H$52,AB$1,FALSE))</f>
        <v>n/a</v>
      </c>
      <c r="AC61" s="28"/>
      <c r="AD61" s="30"/>
      <c r="AE61" s="29"/>
      <c r="AF61" s="105">
        <v>195526</v>
      </c>
      <c r="AG61" s="29">
        <v>55</v>
      </c>
    </row>
    <row r="62" spans="1:33" x14ac:dyDescent="0.35">
      <c r="A62" s="29" t="str">
        <f>VLOOKUP($AF62,raw!$A$1:$CA$193,61,FALSE)</f>
        <v>Case Western Reserve University</v>
      </c>
      <c r="B62" s="136"/>
      <c r="C62" s="136"/>
      <c r="D62" s="137"/>
      <c r="E62" s="137"/>
      <c r="F62" s="29" t="str">
        <f>VLOOKUP($AF62,raw!$A$1:$CA$193,F$2,FALSE)</f>
        <v>Cleveland</v>
      </c>
      <c r="G62" s="30" t="str">
        <f>VLOOKUP($AF62,raw!$A$1:$CA$193,G$2,FALSE)</f>
        <v>OH</v>
      </c>
      <c r="H62" s="73" t="str">
        <f>VLOOKUP($AF62,raw!$A$1:$CA$193,H$2,FALSE)</f>
        <v>City: Large</v>
      </c>
      <c r="I62" s="57" t="str">
        <f>CONCATENATE(VLOOKUP($AF62,raw!$A$1:$BZ$193,I$2,FALSE)," - ",VLOOKUP($AF62,raw!$A$1:$BZ$193,I$2+2,FALSE))</f>
        <v>700 - 750</v>
      </c>
      <c r="J62" s="58" t="str">
        <f>CONCATENATE(VLOOKUP($AF62,raw!$A$1:$BZ$193,J$2,FALSE)," - ",VLOOKUP($AF62,raw!$A$1:$BZ$193,J$2+2,FALSE))</f>
        <v>730 - 790</v>
      </c>
      <c r="K62" s="53">
        <f>VLOOKUP($AF62,raw!$A$1:$BZ$193,K$2,FALSE)</f>
        <v>39033</v>
      </c>
      <c r="L62" s="50">
        <f>VLOOKUP($AF62,raw!$A$1:$BZ$193,L$2,FALSE)</f>
        <v>11193</v>
      </c>
      <c r="M62" s="65">
        <f>VLOOKUP($AF62,raw!$A$1:$BZ$193,M$2,FALSE)/100</f>
        <v>0.28999999999999998</v>
      </c>
      <c r="N62" s="62">
        <f>VLOOKUP($AF62,raw!$A$1:$BZ$193,N$2,FALSE)/K62</f>
        <v>0.51077293572105653</v>
      </c>
      <c r="O62" s="77">
        <f>IF(N62&gt;0,(VLOOKUP($AF62,raw!$A$1:$BZ$193,O$2,FALSE)/(L62*N62)-0),1)</f>
        <v>1.0006854074924594</v>
      </c>
      <c r="P62" s="36">
        <f>VLOOKUP($AF62,raw!$A$1:$BZ$193,P$2,FALSE)/K62</f>
        <v>0.48922706427894347</v>
      </c>
      <c r="Q62" s="77">
        <f>IF(P62&gt;0,(VLOOKUP($AF62,raw!$A$1:$BZ$193,Q$2,FALSE)/(L62*P62)-0),1)</f>
        <v>0.99928440672511709</v>
      </c>
      <c r="R62" s="50">
        <f>VLOOKUP($AF62,raw!$A$1:$BZ$193,R$2,FALSE)</f>
        <v>1544</v>
      </c>
      <c r="S62" s="40" t="str">
        <f t="shared" si="1"/>
        <v>m</v>
      </c>
      <c r="T62" s="29"/>
      <c r="U62" s="28"/>
      <c r="V62" s="110" t="s">
        <v>426</v>
      </c>
      <c r="W62" s="105">
        <v>1</v>
      </c>
      <c r="X62" s="105">
        <v>1</v>
      </c>
      <c r="Y62" s="75" t="str">
        <f>IF(ISERROR(VLOOKUP($A62,deadlines!$B$2:$H$52,Y$1,FALSE)),"dk",IF(ISERROR(VLOOKUP($A62,deadlines!$B$2:$H$52,Y$1,FALSE)+1),"","Y"))</f>
        <v>Y</v>
      </c>
      <c r="Z62" s="75" t="str">
        <f>IF(ISERROR(VLOOKUP($A62,deadlines!$B$2:$H$52,Z$1,FALSE)),"dk",IF(ISERROR(VLOOKUP($A62,deadlines!$B$2:$H$52,Z$1,FALSE)+1),"","Y"))</f>
        <v>Y</v>
      </c>
      <c r="AA62" s="75" t="str">
        <f>IF(ISERROR(VLOOKUP($A62,deadlines!$B$2:$H$52,AA$1,FALSE)),"dk",IF(ISERROR(VLOOKUP($A62,deadlines!$B$2:$H$52,AA$1,FALSE)+1),"","Y"))</f>
        <v>Y</v>
      </c>
      <c r="AB62" s="95" t="str">
        <f>IF(ISERROR(VLOOKUP($A62,deadlines!$B$2:$H$52,AB$1,FALSE)),"",VLOOKUP($A62,deadlines!$B$2:$H$52,AB$1,FALSE))</f>
        <v>n/a</v>
      </c>
      <c r="AC62" s="28"/>
      <c r="AD62" s="30"/>
      <c r="AE62" s="29"/>
      <c r="AF62" s="105">
        <v>201645</v>
      </c>
      <c r="AG62" s="29">
        <v>15</v>
      </c>
    </row>
    <row r="63" spans="1:33" x14ac:dyDescent="0.35">
      <c r="A63" s="29" t="str">
        <f>VLOOKUP($AF63,raw!$A$1:$CA$193,61,FALSE)</f>
        <v>Macalester College</v>
      </c>
      <c r="B63" s="136"/>
      <c r="C63" s="136"/>
      <c r="D63" s="137"/>
      <c r="E63" s="137"/>
      <c r="F63" s="29" t="str">
        <f>VLOOKUP($AF63,raw!$A$1:$CA$193,F$2,FALSE)</f>
        <v>Saint Paul</v>
      </c>
      <c r="G63" s="30" t="str">
        <f>VLOOKUP($AF63,raw!$A$1:$CA$193,G$2,FALSE)</f>
        <v>MN</v>
      </c>
      <c r="H63" s="29" t="str">
        <f>VLOOKUP($AF63,raw!$A$1:$CA$193,H$2,FALSE)</f>
        <v>City: Large</v>
      </c>
      <c r="I63" s="57" t="str">
        <f>CONCATENATE(VLOOKUP($AF63,raw!$A$1:$BZ$193,I$2,FALSE)," - ",VLOOKUP($AF63,raw!$A$1:$BZ$193,I$2+2,FALSE))</f>
        <v>680 - 750</v>
      </c>
      <c r="J63" s="58" t="str">
        <f>CONCATENATE(VLOOKUP($AF63,raw!$A$1:$BZ$193,J$2,FALSE)," - ",VLOOKUP($AF63,raw!$A$1:$BZ$193,J$2+2,FALSE))</f>
        <v>670 - 760</v>
      </c>
      <c r="K63" s="53">
        <f>VLOOKUP($AF63,raw!$A$1:$BZ$193,K$2,FALSE)</f>
        <v>8099</v>
      </c>
      <c r="L63" s="50">
        <f>VLOOKUP($AF63,raw!$A$1:$BZ$193,L$2,FALSE)</f>
        <v>2285</v>
      </c>
      <c r="M63" s="65">
        <f>VLOOKUP($AF63,raw!$A$1:$BZ$193,M$2,FALSE)/100</f>
        <v>0.28000000000000003</v>
      </c>
      <c r="N63" s="62">
        <f>VLOOKUP($AF63,raw!$A$1:$BZ$193,N$2,FALSE)/K63</f>
        <v>0.4347450302506482</v>
      </c>
      <c r="O63" s="77">
        <f>IF(N63&gt;0,(VLOOKUP($AF63,raw!$A$1:$BZ$193,O$2,FALSE)/(L63*N63)-0),1)</f>
        <v>0.89994649172796926</v>
      </c>
      <c r="P63" s="36">
        <f>VLOOKUP($AF63,raw!$A$1:$BZ$193,P$2,FALSE)/K63</f>
        <v>0.56525496974935174</v>
      </c>
      <c r="Q63" s="77">
        <f>IF(P63&gt;0,(VLOOKUP($AF63,raw!$A$1:$BZ$193,Q$2,FALSE)/(L63*P63)-0),1)</f>
        <v>1.076952468900354</v>
      </c>
      <c r="R63" s="50">
        <f>VLOOKUP($AF63,raw!$A$1:$BZ$193,R$2,FALSE)</f>
        <v>518</v>
      </c>
      <c r="S63" s="40" t="str">
        <f t="shared" si="1"/>
        <v>s</v>
      </c>
      <c r="T63" s="75"/>
      <c r="U63" s="29"/>
      <c r="V63" s="110"/>
      <c r="W63" s="105"/>
      <c r="X63" s="105"/>
      <c r="Y63" s="29" t="str">
        <f>IF(ISERROR(VLOOKUP($A63,deadlines!$B$2:$H$52,Y$1,FALSE)),"dk",IF(ISERROR(VLOOKUP($A63,deadlines!$B$2:$H$52,Y$1,FALSE)+1),"","Y"))</f>
        <v>dk</v>
      </c>
      <c r="Z63" s="29" t="str">
        <f>IF(ISERROR(VLOOKUP($A63,deadlines!$B$2:$H$52,Z$1,FALSE)),"dk",IF(ISERROR(VLOOKUP($A63,deadlines!$B$2:$H$52,Z$1,FALSE)+1),"","Y"))</f>
        <v>dk</v>
      </c>
      <c r="AA63" s="29" t="str">
        <f>IF(ISERROR(VLOOKUP($A63,deadlines!$B$2:$H$52,AA$1,FALSE)),"dk",IF(ISERROR(VLOOKUP($A63,deadlines!$B$2:$H$52,AA$1,FALSE)+1),"","Y"))</f>
        <v>dk</v>
      </c>
      <c r="AB63" s="36" t="str">
        <f>IF(ISERROR(VLOOKUP($A63,deadlines!$B$2:$H$52,AB$1,FALSE)),"",VLOOKUP($A63,deadlines!$B$2:$H$52,AB$1,FALSE))</f>
        <v/>
      </c>
      <c r="AC63" s="28"/>
      <c r="AD63" s="30"/>
      <c r="AE63" s="29"/>
      <c r="AF63" s="105">
        <v>173902</v>
      </c>
      <c r="AG63" s="29">
        <v>39</v>
      </c>
    </row>
    <row r="64" spans="1:33" x14ac:dyDescent="0.35">
      <c r="A64" s="29" t="str">
        <f>VLOOKUP($AF64,raw!$A$1:$CA$193,61,FALSE)</f>
        <v>The University of Texas at Austin</v>
      </c>
      <c r="B64" s="136"/>
      <c r="C64" s="136"/>
      <c r="D64" s="137"/>
      <c r="E64" s="137"/>
      <c r="F64" s="74" t="str">
        <f>VLOOKUP($AF64,raw!$A$1:$CA$193,F$2,FALSE)</f>
        <v>Austin</v>
      </c>
      <c r="G64" s="124" t="str">
        <f>VLOOKUP($AF64,raw!$A$1:$CA$193,G$2,FALSE)</f>
        <v>TX</v>
      </c>
      <c r="H64" s="74" t="str">
        <f>VLOOKUP($AF64,raw!$A$1:$CA$193,H$2,FALSE)</f>
        <v>City: Large</v>
      </c>
      <c r="I64" s="125" t="str">
        <f>CONCATENATE(VLOOKUP($AF64,raw!$A$1:$BZ$193,I$2,FALSE)," - ",VLOOKUP($AF64,raw!$A$1:$BZ$193,I$2+2,FALSE))</f>
        <v>620 - 730</v>
      </c>
      <c r="J64" s="126" t="str">
        <f>CONCATENATE(VLOOKUP($AF64,raw!$A$1:$BZ$193,J$2,FALSE)," - ",VLOOKUP($AF64,raw!$A$1:$BZ$193,J$2+2,FALSE))</f>
        <v>610 - 760</v>
      </c>
      <c r="K64" s="127">
        <f>VLOOKUP($AF64,raw!$A$1:$BZ$193,K$2,FALSE)</f>
        <v>66109</v>
      </c>
      <c r="L64" s="128">
        <f>VLOOKUP($AF64,raw!$A$1:$BZ$193,L$2,FALSE)</f>
        <v>19253</v>
      </c>
      <c r="M64" s="129">
        <f>VLOOKUP($AF64,raw!$A$1:$BZ$193,M$2,FALSE)/100</f>
        <v>0.28999999999999998</v>
      </c>
      <c r="N64" s="130">
        <f>VLOOKUP($AF64,raw!$A$1:$BZ$193,N$2,FALSE)/K64</f>
        <v>0.48556172381975221</v>
      </c>
      <c r="O64" s="79">
        <f>IF(N64&gt;0,(VLOOKUP($AF64,raw!$A$1:$BZ$193,O$2,FALSE)/(L64*N64)-0),1)</f>
        <v>0.84173752749298447</v>
      </c>
      <c r="P64" s="80">
        <f>VLOOKUP($AF64,raw!$A$1:$BZ$193,P$2,FALSE)/K64</f>
        <v>0.51192727162716123</v>
      </c>
      <c r="Q64" s="79">
        <f>IF(P64&gt;0,(VLOOKUP($AF64,raw!$A$1:$BZ$193,Q$2,FALSE)/(L64*P64)-0),1)</f>
        <v>1.149639196859727</v>
      </c>
      <c r="R64" s="128">
        <f>VLOOKUP($AF64,raw!$A$1:$BZ$193,R$2,FALSE)</f>
        <v>9230</v>
      </c>
      <c r="S64" s="131" t="str">
        <f t="shared" si="1"/>
        <v>l</v>
      </c>
      <c r="T64" s="74"/>
      <c r="U64" s="74"/>
      <c r="V64" s="132" t="s">
        <v>426</v>
      </c>
      <c r="W64" s="106">
        <v>1</v>
      </c>
      <c r="X64" s="106"/>
      <c r="Y64" s="74" t="str">
        <f>IF(ISERROR(VLOOKUP($A64,deadlines!$B$2:$H$52,Y$1,FALSE)),"dk",IF(ISERROR(VLOOKUP($A64,deadlines!$B$2:$H$52,Y$1,FALSE)+1),"","Y"))</f>
        <v>dk</v>
      </c>
      <c r="Z64" s="74" t="str">
        <f>IF(ISERROR(VLOOKUP($A64,deadlines!$B$2:$H$52,Z$1,FALSE)),"dk",IF(ISERROR(VLOOKUP($A64,deadlines!$B$2:$H$52,Z$1,FALSE)+1),"","Y"))</f>
        <v>dk</v>
      </c>
      <c r="AA64" s="74" t="str">
        <f>IF(ISERROR(VLOOKUP($A64,deadlines!$B$2:$H$52,AA$1,FALSE)),"dk",IF(ISERROR(VLOOKUP($A64,deadlines!$B$2:$H$52,AA$1,FALSE)+1),"","Y"))</f>
        <v>dk</v>
      </c>
      <c r="AB64" s="80" t="str">
        <f>IF(ISERROR(VLOOKUP($A64,deadlines!$B$2:$H$52,AB$1,FALSE)),"",VLOOKUP($A64,deadlines!$B$2:$H$52,AB$1,FALSE))</f>
        <v/>
      </c>
      <c r="AC64" s="123"/>
      <c r="AD64" s="124"/>
      <c r="AE64" s="29"/>
      <c r="AF64" s="105">
        <v>228778</v>
      </c>
      <c r="AG64" s="29">
        <v>79</v>
      </c>
    </row>
    <row r="65" spans="1:33" x14ac:dyDescent="0.35">
      <c r="A65" s="29" t="str">
        <f>VLOOKUP($AF65,raw!$A$1:$CA$193,61,FALSE)</f>
        <v>Lafayette College</v>
      </c>
      <c r="B65" s="136"/>
      <c r="C65" s="136"/>
      <c r="D65" s="137"/>
      <c r="E65" s="137"/>
      <c r="F65" s="73" t="str">
        <f>VLOOKUP($AF65,raw!$A$1:$CA$193,F$2,FALSE)</f>
        <v>Easton</v>
      </c>
      <c r="G65" s="45" t="str">
        <f>VLOOKUP($AF65,raw!$A$1:$CA$193,G$2,FALSE)</f>
        <v>PA</v>
      </c>
      <c r="H65" s="73" t="str">
        <f>VLOOKUP($AF65,raw!$A$1:$CA$193,H$2,FALSE)</f>
        <v>Suburb: Large</v>
      </c>
      <c r="I65" s="59" t="str">
        <f>CONCATENATE(VLOOKUP($AF65,raw!$A$1:$BZ$193,I$2,FALSE)," - ",VLOOKUP($AF65,raw!$A$1:$BZ$193,I$2+2,FALSE))</f>
        <v>670 - 730</v>
      </c>
      <c r="J65" s="60" t="str">
        <f>CONCATENATE(VLOOKUP($AF65,raw!$A$1:$BZ$193,J$2,FALSE)," - ",VLOOKUP($AF65,raw!$A$1:$BZ$193,J$2+2,FALSE))</f>
        <v>670 - 760</v>
      </c>
      <c r="K65" s="54">
        <f>VLOOKUP($AF65,raw!$A$1:$BZ$193,K$2,FALSE)</f>
        <v>9874</v>
      </c>
      <c r="L65" s="51">
        <f>VLOOKUP($AF65,raw!$A$1:$BZ$193,L$2,FALSE)</f>
        <v>3107</v>
      </c>
      <c r="M65" s="66">
        <f>VLOOKUP($AF65,raw!$A$1:$BZ$193,M$2,FALSE)/100</f>
        <v>0.31</v>
      </c>
      <c r="N65" s="63">
        <f>VLOOKUP($AF65,raw!$A$1:$BZ$193,N$2,FALSE)/K65</f>
        <v>0.52258456552562282</v>
      </c>
      <c r="O65" s="78">
        <f>IF(N65&gt;0,(VLOOKUP($AF65,raw!$A$1:$BZ$193,O$2,FALSE)/(L65*N65)-0),1)</f>
        <v>0.93799834332577359</v>
      </c>
      <c r="P65" s="47">
        <f>VLOOKUP($AF65,raw!$A$1:$BZ$193,P$2,FALSE)/K65</f>
        <v>0.47741543447437718</v>
      </c>
      <c r="Q65" s="78">
        <f>IF(P65&gt;0,(VLOOKUP($AF65,raw!$A$1:$BZ$193,Q$2,FALSE)/(L65*P65)-0),1)</f>
        <v>1.0678677446837099</v>
      </c>
      <c r="R65" s="51">
        <f>VLOOKUP($AF65,raw!$A$1:$BZ$193,R$2,FALSE)</f>
        <v>697</v>
      </c>
      <c r="S65" s="48" t="str">
        <f t="shared" si="1"/>
        <v>s</v>
      </c>
      <c r="T65" s="73"/>
      <c r="U65" s="73"/>
      <c r="V65" s="111" t="s">
        <v>427</v>
      </c>
      <c r="W65" s="104">
        <v>1</v>
      </c>
      <c r="X65" s="104"/>
      <c r="Y65" s="91" t="str">
        <f>IF(ISERROR(VLOOKUP($A65,deadlines!$B$2:$H$52,Y$1,FALSE)),"dk",IF(ISERROR(VLOOKUP($A65,deadlines!$B$2:$H$52,Y$1,FALSE)+1),"","Y"))</f>
        <v>Y</v>
      </c>
      <c r="Z65" s="91" t="str">
        <f>IF(ISERROR(VLOOKUP($A65,deadlines!$B$2:$H$52,Z$1,FALSE)),"dk",IF(ISERROR(VLOOKUP($A65,deadlines!$B$2:$H$52,Z$1,FALSE)+1),"","Y"))</f>
        <v>Y</v>
      </c>
      <c r="AA65" s="91" t="str">
        <f>IF(ISERROR(VLOOKUP($A65,deadlines!$B$2:$H$52,AA$1,FALSE)),"dk",IF(ISERROR(VLOOKUP($A65,deadlines!$B$2:$H$52,AA$1,FALSE)+1),"","Y"))</f>
        <v/>
      </c>
      <c r="AB65" s="47" t="str">
        <f>IF(ISERROR(VLOOKUP($A65,deadlines!$B$2:$H$52,AB$1,FALSE)),"",VLOOKUP($A65,deadlines!$B$2:$H$52,AB$1,FALSE))</f>
        <v>n/a</v>
      </c>
      <c r="AC65" s="44"/>
      <c r="AD65" s="45"/>
      <c r="AE65" s="29"/>
      <c r="AF65" s="105">
        <v>213385</v>
      </c>
      <c r="AG65" s="29">
        <v>37</v>
      </c>
    </row>
    <row r="66" spans="1:33" x14ac:dyDescent="0.35">
      <c r="A66" s="29" t="str">
        <f>VLOOKUP($AF66,raw!$A$1:$CA$193,61,FALSE)</f>
        <v>William &amp; Mary</v>
      </c>
      <c r="B66" s="136"/>
      <c r="C66" s="136"/>
      <c r="D66" s="137"/>
      <c r="E66" s="137"/>
      <c r="F66" s="29" t="str">
        <f>VLOOKUP($AF66,raw!$A$1:$CA$193,F$2,FALSE)</f>
        <v>Williamsburg</v>
      </c>
      <c r="G66" s="30" t="str">
        <f>VLOOKUP($AF66,raw!$A$1:$CA$193,G$2,FALSE)</f>
        <v>VA</v>
      </c>
      <c r="H66" s="29" t="str">
        <f>VLOOKUP($AF66,raw!$A$1:$CA$193,H$2,FALSE)</f>
        <v>Suburb: Small</v>
      </c>
      <c r="I66" s="57" t="str">
        <f>CONCATENATE(VLOOKUP($AF66,raw!$A$1:$BZ$193,I$2,FALSE)," - ",VLOOKUP($AF66,raw!$A$1:$BZ$193,I$2+2,FALSE))</f>
        <v>695 - 750</v>
      </c>
      <c r="J66" s="58" t="str">
        <f>CONCATENATE(VLOOKUP($AF66,raw!$A$1:$BZ$193,J$2,FALSE)," - ",VLOOKUP($AF66,raw!$A$1:$BZ$193,J$2+2,FALSE))</f>
        <v>670 - 760</v>
      </c>
      <c r="K66" s="53">
        <f>VLOOKUP($AF66,raw!$A$1:$BZ$193,K$2,FALSE)</f>
        <v>17548</v>
      </c>
      <c r="L66" s="50">
        <f>VLOOKUP($AF66,raw!$A$1:$BZ$193,L$2,FALSE)</f>
        <v>5741</v>
      </c>
      <c r="M66" s="65">
        <f>VLOOKUP($AF66,raw!$A$1:$BZ$193,M$2,FALSE)/100</f>
        <v>0.33</v>
      </c>
      <c r="N66" s="62">
        <f>VLOOKUP($AF66,raw!$A$1:$BZ$193,N$2,FALSE)/K66</f>
        <v>0.38038522908593569</v>
      </c>
      <c r="O66" s="77">
        <f>IF(N66&gt;0,(VLOOKUP($AF66,raw!$A$1:$BZ$193,O$2,FALSE)/(L66*N66)-0),1)</f>
        <v>1.131976146347287</v>
      </c>
      <c r="P66" s="36">
        <f>VLOOKUP($AF66,raw!$A$1:$BZ$193,P$2,FALSE)/K66</f>
        <v>0.61961477091406425</v>
      </c>
      <c r="Q66" s="77">
        <f>IF(P66&gt;0,(VLOOKUP($AF66,raw!$A$1:$BZ$193,Q$2,FALSE)/(L66*P66)-0),1)</f>
        <v>0.9189790511479683</v>
      </c>
      <c r="R66" s="50">
        <f>VLOOKUP($AF66,raw!$A$1:$BZ$193,R$2,FALSE)</f>
        <v>1619</v>
      </c>
      <c r="S66" s="40" t="str">
        <f t="shared" si="1"/>
        <v>m</v>
      </c>
      <c r="T66" s="75"/>
      <c r="U66" s="29"/>
      <c r="V66" s="110"/>
      <c r="W66" s="105"/>
      <c r="X66" s="105"/>
      <c r="Y66" s="29" t="str">
        <f>IF(ISERROR(VLOOKUP($A66,deadlines!$B$2:$H$52,Y$1,FALSE)),"dk",IF(ISERROR(VLOOKUP($A66,deadlines!$B$2:$H$52,Y$1,FALSE)+1),"","Y"))</f>
        <v>dk</v>
      </c>
      <c r="Z66" s="29" t="str">
        <f>IF(ISERROR(VLOOKUP($A66,deadlines!$B$2:$H$52,Z$1,FALSE)),"dk",IF(ISERROR(VLOOKUP($A66,deadlines!$B$2:$H$52,Z$1,FALSE)+1),"","Y"))</f>
        <v>dk</v>
      </c>
      <c r="AA66" s="29" t="str">
        <f>IF(ISERROR(VLOOKUP($A66,deadlines!$B$2:$H$52,AA$1,FALSE)),"dk",IF(ISERROR(VLOOKUP($A66,deadlines!$B$2:$H$52,AA$1,FALSE)+1),"","Y"))</f>
        <v>dk</v>
      </c>
      <c r="AB66" s="36" t="str">
        <f>IF(ISERROR(VLOOKUP($A66,deadlines!$B$2:$H$52,AB$1,FALSE)),"",VLOOKUP($A66,deadlines!$B$2:$H$52,AB$1,FALSE))</f>
        <v/>
      </c>
      <c r="AC66" s="28"/>
      <c r="AD66" s="30"/>
      <c r="AE66" s="29"/>
      <c r="AF66" s="105">
        <v>231624</v>
      </c>
      <c r="AG66" s="29">
        <v>20</v>
      </c>
    </row>
    <row r="67" spans="1:33" x14ac:dyDescent="0.35">
      <c r="A67" s="29" t="str">
        <f>VLOOKUP($AF67,raw!$A$1:$CA$193,61,FALSE)</f>
        <v>Bucknell University</v>
      </c>
      <c r="B67" s="136"/>
      <c r="C67" s="136"/>
      <c r="D67" s="137"/>
      <c r="E67" s="137"/>
      <c r="F67" s="29" t="str">
        <f>VLOOKUP($AF67,raw!$A$1:$CA$193,F$2,FALSE)</f>
        <v>Lewisburg</v>
      </c>
      <c r="G67" s="30" t="str">
        <f>VLOOKUP($AF67,raw!$A$1:$CA$193,G$2,FALSE)</f>
        <v>PA</v>
      </c>
      <c r="H67" s="29" t="str">
        <f>VLOOKUP($AF67,raw!$A$1:$CA$193,H$2,FALSE)</f>
        <v>Town: Distant</v>
      </c>
      <c r="I67" s="57" t="str">
        <f>CONCATENATE(VLOOKUP($AF67,raw!$A$1:$BZ$193,I$2,FALSE)," - ",VLOOKUP($AF67,raw!$A$1:$BZ$193,I$2+2,FALSE))</f>
        <v>640 - 710</v>
      </c>
      <c r="J67" s="58" t="str">
        <f>CONCATENATE(VLOOKUP($AF67,raw!$A$1:$BZ$193,J$2,FALSE)," - ",VLOOKUP($AF67,raw!$A$1:$BZ$193,J$2+2,FALSE))</f>
        <v>660 - 740</v>
      </c>
      <c r="K67" s="53">
        <f>VLOOKUP($AF67,raw!$A$1:$BZ$193,K$2,FALSE)</f>
        <v>11010</v>
      </c>
      <c r="L67" s="50">
        <f>VLOOKUP($AF67,raw!$A$1:$BZ$193,L$2,FALSE)</f>
        <v>3524</v>
      </c>
      <c r="M67" s="65">
        <f>VLOOKUP($AF67,raw!$A$1:$BZ$193,M$2,FALSE)/100</f>
        <v>0.32</v>
      </c>
      <c r="N67" s="62">
        <f>VLOOKUP($AF67,raw!$A$1:$BZ$193,N$2,FALSE)/K67</f>
        <v>0.50299727520435966</v>
      </c>
      <c r="O67" s="77">
        <f>IF(N67&gt;0,(VLOOKUP($AF67,raw!$A$1:$BZ$193,O$2,FALSE)/(L67*N67)-0),1)</f>
        <v>0.91618777539066587</v>
      </c>
      <c r="P67" s="36">
        <f>VLOOKUP($AF67,raw!$A$1:$BZ$193,P$2,FALSE)/K67</f>
        <v>0.49700272479564034</v>
      </c>
      <c r="Q67" s="77">
        <f>IF(P67&gt;0,(VLOOKUP($AF67,raw!$A$1:$BZ$193,Q$2,FALSE)/(L67*P67)-0),1)</f>
        <v>1.0848231176693151</v>
      </c>
      <c r="R67" s="50">
        <f>VLOOKUP($AF67,raw!$A$1:$BZ$193,R$2,FALSE)</f>
        <v>1030</v>
      </c>
      <c r="S67" s="40" t="str">
        <f t="shared" si="1"/>
        <v>m</v>
      </c>
      <c r="T67" s="29"/>
      <c r="U67" s="29"/>
      <c r="V67" s="110" t="s">
        <v>427</v>
      </c>
      <c r="W67" s="105">
        <v>1</v>
      </c>
      <c r="X67" s="105"/>
      <c r="Y67" s="29" t="str">
        <f>IF(ISERROR(VLOOKUP($A67,deadlines!$B$2:$H$52,Y$1,FALSE)),"dk",IF(ISERROR(VLOOKUP($A67,deadlines!$B$2:$H$52,Y$1,FALSE)+1),"","Y"))</f>
        <v>dk</v>
      </c>
      <c r="Z67" s="29" t="str">
        <f>IF(ISERROR(VLOOKUP($A67,deadlines!$B$2:$H$52,Z$1,FALSE)),"dk",IF(ISERROR(VLOOKUP($A67,deadlines!$B$2:$H$52,Z$1,FALSE)+1),"","Y"))</f>
        <v>dk</v>
      </c>
      <c r="AA67" s="29" t="str">
        <f>IF(ISERROR(VLOOKUP($A67,deadlines!$B$2:$H$52,AA$1,FALSE)),"dk",IF(ISERROR(VLOOKUP($A67,deadlines!$B$2:$H$52,AA$1,FALSE)+1),"","Y"))</f>
        <v>dk</v>
      </c>
      <c r="AB67" s="95" t="str">
        <f>IF(ISERROR(VLOOKUP($A67,deadlines!$B$2:$H$52,AB$1,FALSE)),"",VLOOKUP($A67,deadlines!$B$2:$H$52,AB$1,FALSE))</f>
        <v/>
      </c>
      <c r="AC67" s="28"/>
      <c r="AD67" s="30"/>
      <c r="AE67" s="29"/>
      <c r="AF67" s="105">
        <v>211291</v>
      </c>
      <c r="AG67" s="29">
        <v>12</v>
      </c>
    </row>
    <row r="68" spans="1:33" x14ac:dyDescent="0.35">
      <c r="A68" s="29" t="str">
        <f>VLOOKUP($AF68,raw!$A$1:$CA$193,61,FALSE)</f>
        <v>Kenyon College</v>
      </c>
      <c r="B68" s="136"/>
      <c r="C68" s="136"/>
      <c r="D68" s="137"/>
      <c r="E68" s="137"/>
      <c r="F68" s="29" t="str">
        <f>VLOOKUP($AF68,raw!$A$1:$CA$193,F$2,FALSE)</f>
        <v>Gambier</v>
      </c>
      <c r="G68" s="30" t="str">
        <f>VLOOKUP($AF68,raw!$A$1:$CA$193,G$2,FALSE)</f>
        <v>OH</v>
      </c>
      <c r="H68" s="29" t="str">
        <f>VLOOKUP($AF68,raw!$A$1:$CA$193,H$2,FALSE)</f>
        <v>Rural: Fringe</v>
      </c>
      <c r="I68" s="57" t="str">
        <f>CONCATENATE(VLOOKUP($AF68,raw!$A$1:$BZ$193,I$2,FALSE)," - ",VLOOKUP($AF68,raw!$A$1:$BZ$193,I$2+2,FALSE))</f>
        <v>690 - 750</v>
      </c>
      <c r="J68" s="58" t="str">
        <f>CONCATENATE(VLOOKUP($AF68,raw!$A$1:$BZ$193,J$2,FALSE)," - ",VLOOKUP($AF68,raw!$A$1:$BZ$193,J$2+2,FALSE))</f>
        <v>670 - 750</v>
      </c>
      <c r="K68" s="53">
        <f>VLOOKUP($AF68,raw!$A$1:$BZ$193,K$2,FALSE)</f>
        <v>8218</v>
      </c>
      <c r="L68" s="50">
        <f>VLOOKUP($AF68,raw!$A$1:$BZ$193,L$2,FALSE)</f>
        <v>2524</v>
      </c>
      <c r="M68" s="65">
        <f>VLOOKUP($AF68,raw!$A$1:$BZ$193,M$2,FALSE)/100</f>
        <v>0.31</v>
      </c>
      <c r="N68" s="62">
        <f>VLOOKUP($AF68,raw!$A$1:$BZ$193,N$2,FALSE)/K68</f>
        <v>0.47614991482112434</v>
      </c>
      <c r="O68" s="77">
        <f>IF(N68&gt;0,(VLOOKUP($AF68,raw!$A$1:$BZ$193,O$2,FALSE)/(L68*N68)-0),1)</f>
        <v>0.88034440037535899</v>
      </c>
      <c r="P68" s="36">
        <f>VLOOKUP($AF68,raw!$A$1:$BZ$193,P$2,FALSE)/K68</f>
        <v>0.52385008517887566</v>
      </c>
      <c r="Q68" s="77">
        <f>IF(P68&gt;0,(VLOOKUP($AF68,raw!$A$1:$BZ$193,Q$2,FALSE)/(L68*P68)-0),1)</f>
        <v>1.1087601303905272</v>
      </c>
      <c r="R68" s="50">
        <f>VLOOKUP($AF68,raw!$A$1:$BZ$193,R$2,FALSE)</f>
        <v>455</v>
      </c>
      <c r="S68" s="40" t="str">
        <f t="shared" ref="S68:S98" si="2">VLOOKUP(R68,$AK$5:$AL$8,2,TRUE)</f>
        <v>s</v>
      </c>
      <c r="T68" s="75"/>
      <c r="U68" s="29"/>
      <c r="V68" s="110"/>
      <c r="W68" s="105"/>
      <c r="X68" s="105"/>
      <c r="Y68" s="29" t="str">
        <f>IF(ISERROR(VLOOKUP($A68,deadlines!$B$2:$H$52,Y$1,FALSE)),"dk",IF(ISERROR(VLOOKUP($A68,deadlines!$B$2:$H$52,Y$1,FALSE)+1),"","Y"))</f>
        <v>dk</v>
      </c>
      <c r="Z68" s="29" t="str">
        <f>IF(ISERROR(VLOOKUP($A68,deadlines!$B$2:$H$52,Z$1,FALSE)),"dk",IF(ISERROR(VLOOKUP($A68,deadlines!$B$2:$H$52,Z$1,FALSE)+1),"","Y"))</f>
        <v>dk</v>
      </c>
      <c r="AA68" s="29" t="str">
        <f>IF(ISERROR(VLOOKUP($A68,deadlines!$B$2:$H$52,AA$1,FALSE)),"dk",IF(ISERROR(VLOOKUP($A68,deadlines!$B$2:$H$52,AA$1,FALSE)+1),"","Y"))</f>
        <v>dk</v>
      </c>
      <c r="AB68" s="36" t="str">
        <f>IF(ISERROR(VLOOKUP($A68,deadlines!$B$2:$H$52,AB$1,FALSE)),"",VLOOKUP($A68,deadlines!$B$2:$H$52,AB$1,FALSE))</f>
        <v/>
      </c>
      <c r="AC68" s="28"/>
      <c r="AD68" s="30"/>
      <c r="AE68" s="29"/>
      <c r="AF68" s="105">
        <v>203535</v>
      </c>
      <c r="AG68" s="29">
        <v>36</v>
      </c>
    </row>
    <row r="69" spans="1:33" x14ac:dyDescent="0.35">
      <c r="A69" s="29" t="str">
        <f>VLOOKUP($AF69,raw!$A$1:$CA$193,61,FALSE)</f>
        <v>Oberlin College</v>
      </c>
      <c r="B69" s="136"/>
      <c r="C69" s="136"/>
      <c r="D69" s="137"/>
      <c r="E69" s="137"/>
      <c r="F69" s="29" t="str">
        <f>VLOOKUP($AF69,raw!$A$1:$CA$193,F$2,FALSE)</f>
        <v>Oberlin</v>
      </c>
      <c r="G69" s="30" t="str">
        <f>VLOOKUP($AF69,raw!$A$1:$CA$193,G$2,FALSE)</f>
        <v>OH</v>
      </c>
      <c r="H69" s="29" t="str">
        <f>VLOOKUP($AF69,raw!$A$1:$CA$193,H$2,FALSE)</f>
        <v>Town: Fringe</v>
      </c>
      <c r="I69" s="57" t="str">
        <f>CONCATENATE(VLOOKUP($AF69,raw!$A$1:$BZ$193,I$2,FALSE)," - ",VLOOKUP($AF69,raw!$A$1:$BZ$193,I$2+2,FALSE))</f>
        <v>700 - 760</v>
      </c>
      <c r="J69" s="58" t="str">
        <f>CONCATENATE(VLOOKUP($AF69,raw!$A$1:$BZ$193,J$2,FALSE)," - ",VLOOKUP($AF69,raw!$A$1:$BZ$193,J$2+2,FALSE))</f>
        <v>670 - 750</v>
      </c>
      <c r="K69" s="53">
        <f>VLOOKUP($AF69,raw!$A$1:$BZ$193,K$2,FALSE)</f>
        <v>11039</v>
      </c>
      <c r="L69" s="50">
        <f>VLOOKUP($AF69,raw!$A$1:$BZ$193,L$2,FALSE)</f>
        <v>3641</v>
      </c>
      <c r="M69" s="65">
        <f>VLOOKUP($AF69,raw!$A$1:$BZ$193,M$2,FALSE)/100</f>
        <v>0.33</v>
      </c>
      <c r="N69" s="62">
        <f>VLOOKUP($AF69,raw!$A$1:$BZ$193,N$2,FALSE)/K69</f>
        <v>0.43654316514177011</v>
      </c>
      <c r="O69" s="77">
        <f>IF(N69&gt;0,(VLOOKUP($AF69,raw!$A$1:$BZ$193,O$2,FALSE)/(L69*N69)-0),1)</f>
        <v>0.88269323700888958</v>
      </c>
      <c r="P69" s="36">
        <f>VLOOKUP($AF69,raw!$A$1:$BZ$193,P$2,FALSE)/K69</f>
        <v>0.56345683485822995</v>
      </c>
      <c r="Q69" s="77">
        <f>IF(P69&gt;0,(VLOOKUP($AF69,raw!$A$1:$BZ$193,Q$2,FALSE)/(L69*P69)-0),1)</f>
        <v>1.0908844519058136</v>
      </c>
      <c r="R69" s="50">
        <f>VLOOKUP($AF69,raw!$A$1:$BZ$193,R$2,FALSE)</f>
        <v>779</v>
      </c>
      <c r="S69" s="40" t="str">
        <f t="shared" si="2"/>
        <v>s</v>
      </c>
      <c r="T69" s="75"/>
      <c r="U69" s="29"/>
      <c r="V69" s="110"/>
      <c r="W69" s="105"/>
      <c r="X69" s="105"/>
      <c r="Y69" s="29" t="str">
        <f>IF(ISERROR(VLOOKUP($A69,deadlines!$B$2:$H$52,Y$1,FALSE)),"dk",IF(ISERROR(VLOOKUP($A69,deadlines!$B$2:$H$52,Y$1,FALSE)+1),"","Y"))</f>
        <v>Y</v>
      </c>
      <c r="Z69" s="29" t="str">
        <f>IF(ISERROR(VLOOKUP($A69,deadlines!$B$2:$H$52,Z$1,FALSE)),"dk",IF(ISERROR(VLOOKUP($A69,deadlines!$B$2:$H$52,Z$1,FALSE)+1),"","Y"))</f>
        <v>Y</v>
      </c>
      <c r="AA69" s="29" t="str">
        <f>IF(ISERROR(VLOOKUP($A69,deadlines!$B$2:$H$52,AA$1,FALSE)),"dk",IF(ISERROR(VLOOKUP($A69,deadlines!$B$2:$H$52,AA$1,FALSE)+1),"","Y"))</f>
        <v/>
      </c>
      <c r="AB69" s="36" t="str">
        <f>IF(ISERROR(VLOOKUP($A69,deadlines!$B$2:$H$52,AB$1,FALSE)),"",VLOOKUP($A69,deadlines!$B$2:$H$52,AB$1,FALSE))</f>
        <v>n/a</v>
      </c>
      <c r="AC69" s="28"/>
      <c r="AD69" s="30"/>
      <c r="AE69" s="29"/>
      <c r="AF69" s="105">
        <v>204501</v>
      </c>
      <c r="AG69" s="29">
        <v>46</v>
      </c>
    </row>
    <row r="70" spans="1:33" x14ac:dyDescent="0.35">
      <c r="A70" s="29" t="str">
        <f>VLOOKUP($AF70,raw!$A$1:$CA$193,61,FALSE)</f>
        <v>Dickinson College</v>
      </c>
      <c r="B70" s="136"/>
      <c r="C70" s="136"/>
      <c r="D70" s="137"/>
      <c r="E70" s="137"/>
      <c r="F70" s="29" t="str">
        <f>VLOOKUP($AF70,raw!$A$1:$CA$193,F$2,FALSE)</f>
        <v>Carlisle</v>
      </c>
      <c r="G70" s="30" t="str">
        <f>VLOOKUP($AF70,raw!$A$1:$CA$193,G$2,FALSE)</f>
        <v>PA</v>
      </c>
      <c r="H70" s="29" t="str">
        <f>VLOOKUP($AF70,raw!$A$1:$CA$193,H$2,FALSE)</f>
        <v>City: Small</v>
      </c>
      <c r="I70" s="57" t="str">
        <f>CONCATENATE(VLOOKUP($AF70,raw!$A$1:$BZ$193,I$2,FALSE)," - ",VLOOKUP($AF70,raw!$A$1:$BZ$193,I$2+2,FALSE))</f>
        <v xml:space="preserve"> - </v>
      </c>
      <c r="J70" s="58" t="str">
        <f>CONCATENATE(VLOOKUP($AF70,raw!$A$1:$BZ$193,J$2,FALSE)," - ",VLOOKUP($AF70,raw!$A$1:$BZ$193,J$2+2,FALSE))</f>
        <v xml:space="preserve"> - </v>
      </c>
      <c r="K70" s="53">
        <f>VLOOKUP($AF70,raw!$A$1:$BZ$193,K$2,FALSE)</f>
        <v>7185</v>
      </c>
      <c r="L70" s="50">
        <f>VLOOKUP($AF70,raw!$A$1:$BZ$193,L$2,FALSE)</f>
        <v>3095</v>
      </c>
      <c r="M70" s="65">
        <f>VLOOKUP($AF70,raw!$A$1:$BZ$193,M$2,FALSE)/100</f>
        <v>0.43</v>
      </c>
      <c r="N70" s="62">
        <f>VLOOKUP($AF70,raw!$A$1:$BZ$193,N$2,FALSE)/K70</f>
        <v>0.41155184411969381</v>
      </c>
      <c r="O70" s="77">
        <f>IF(N70&gt;0,(VLOOKUP($AF70,raw!$A$1:$BZ$193,O$2,FALSE)/(L70*N70)-0),1)</f>
        <v>0.85181352755133766</v>
      </c>
      <c r="P70" s="36">
        <f>VLOOKUP($AF70,raw!$A$1:$BZ$193,P$2,FALSE)/K70</f>
        <v>0.58844815588030619</v>
      </c>
      <c r="Q70" s="77">
        <f>IF(P70&gt;0,(VLOOKUP($AF70,raw!$A$1:$BZ$193,Q$2,FALSE)/(L70*P70)-0),1)</f>
        <v>1.1036394037442514</v>
      </c>
      <c r="R70" s="50">
        <f>VLOOKUP($AF70,raw!$A$1:$BZ$193,R$2,FALSE)</f>
        <v>525</v>
      </c>
      <c r="S70" s="40" t="str">
        <f t="shared" si="2"/>
        <v>s</v>
      </c>
      <c r="T70" s="29"/>
      <c r="U70" s="29"/>
      <c r="V70" s="110"/>
      <c r="W70" s="105"/>
      <c r="X70" s="105"/>
      <c r="Y70" s="29" t="str">
        <f>IF(ISERROR(VLOOKUP($A70,deadlines!$B$2:$H$52,Y$1,FALSE)),"dk",IF(ISERROR(VLOOKUP($A70,deadlines!$B$2:$H$52,Y$1,FALSE)+1),"","Y"))</f>
        <v>dk</v>
      </c>
      <c r="Z70" s="29" t="str">
        <f>IF(ISERROR(VLOOKUP($A70,deadlines!$B$2:$H$52,Z$1,FALSE)),"dk",IF(ISERROR(VLOOKUP($A70,deadlines!$B$2:$H$52,Z$1,FALSE)+1),"","Y"))</f>
        <v>dk</v>
      </c>
      <c r="AA70" s="29" t="str">
        <f>IF(ISERROR(VLOOKUP($A70,deadlines!$B$2:$H$52,AA$1,FALSE)),"dk",IF(ISERROR(VLOOKUP($A70,deadlines!$B$2:$H$52,AA$1,FALSE)+1),"","Y"))</f>
        <v>dk</v>
      </c>
      <c r="AB70" s="36" t="str">
        <f>IF(ISERROR(VLOOKUP($A70,deadlines!$B$2:$H$52,AB$1,FALSE)),"",VLOOKUP($A70,deadlines!$B$2:$H$52,AB$1,FALSE))</f>
        <v/>
      </c>
      <c r="AC70" s="28"/>
      <c r="AD70" s="30"/>
      <c r="AE70" s="29"/>
      <c r="AF70" s="105">
        <v>212009</v>
      </c>
      <c r="AG70" s="29">
        <v>26</v>
      </c>
    </row>
    <row r="71" spans="1:33" x14ac:dyDescent="0.35">
      <c r="A71" s="29" t="str">
        <f>VLOOKUP($AF71,raw!$A$1:$CA$193,61,FALSE)</f>
        <v>Trinity College</v>
      </c>
      <c r="B71" s="136"/>
      <c r="C71" s="136"/>
      <c r="D71" s="137"/>
      <c r="E71" s="137"/>
      <c r="F71" s="29" t="str">
        <f>VLOOKUP($AF71,raw!$A$1:$CA$193,F$2,FALSE)</f>
        <v>Hartford</v>
      </c>
      <c r="G71" s="30" t="str">
        <f>VLOOKUP($AF71,raw!$A$1:$CA$193,G$2,FALSE)</f>
        <v>CT</v>
      </c>
      <c r="H71" s="29" t="str">
        <f>VLOOKUP($AF71,raw!$A$1:$CA$193,H$2,FALSE)</f>
        <v>City: Midsize</v>
      </c>
      <c r="I71" s="57" t="str">
        <f>CONCATENATE(VLOOKUP($AF71,raw!$A$1:$BZ$193,I$2,FALSE)," - ",VLOOKUP($AF71,raw!$A$1:$BZ$193,I$2+2,FALSE))</f>
        <v>660 - 730</v>
      </c>
      <c r="J71" s="58" t="str">
        <f>CONCATENATE(VLOOKUP($AF71,raw!$A$1:$BZ$193,J$2,FALSE)," - ",VLOOKUP($AF71,raw!$A$1:$BZ$193,J$2+2,FALSE))</f>
        <v>650 - 730</v>
      </c>
      <c r="K71" s="53">
        <f>VLOOKUP($AF71,raw!$A$1:$BZ$193,K$2,FALSE)</f>
        <v>6396</v>
      </c>
      <c r="L71" s="50">
        <f>VLOOKUP($AF71,raw!$A$1:$BZ$193,L$2,FALSE)</f>
        <v>2144</v>
      </c>
      <c r="M71" s="65">
        <f>VLOOKUP($AF71,raw!$A$1:$BZ$193,M$2,FALSE)/100</f>
        <v>0.34</v>
      </c>
      <c r="N71" s="62">
        <f>VLOOKUP($AF71,raw!$A$1:$BZ$193,N$2,FALSE)/K71</f>
        <v>0.48217636022514071</v>
      </c>
      <c r="O71" s="77">
        <f>IF(N71&gt;0,(VLOOKUP($AF71,raw!$A$1:$BZ$193,O$2,FALSE)/(L71*N71)-0),1)</f>
        <v>0.90540972181892099</v>
      </c>
      <c r="P71" s="36">
        <f>VLOOKUP($AF71,raw!$A$1:$BZ$193,P$2,FALSE)/K71</f>
        <v>0.51782363977485923</v>
      </c>
      <c r="Q71" s="77">
        <f>IF(P71&gt;0,(VLOOKUP($AF71,raw!$A$1:$BZ$193,Q$2,FALSE)/(L71*P71)-0),1)</f>
        <v>1.0880786285961499</v>
      </c>
      <c r="R71" s="50">
        <f>VLOOKUP($AF71,raw!$A$1:$BZ$193,R$2,FALSE)</f>
        <v>577</v>
      </c>
      <c r="S71" s="40" t="str">
        <f t="shared" si="2"/>
        <v>s</v>
      </c>
      <c r="T71" s="75"/>
      <c r="U71" s="29"/>
      <c r="V71" s="110"/>
      <c r="W71" s="105"/>
      <c r="X71" s="105"/>
      <c r="Y71" s="29" t="str">
        <f>IF(ISERROR(VLOOKUP($A71,deadlines!$B$2:$H$52,Y$1,FALSE)),"dk",IF(ISERROR(VLOOKUP($A71,deadlines!$B$2:$H$52,Y$1,FALSE)+1),"","Y"))</f>
        <v>dk</v>
      </c>
      <c r="Z71" s="29" t="str">
        <f>IF(ISERROR(VLOOKUP($A71,deadlines!$B$2:$H$52,Z$1,FALSE)),"dk",IF(ISERROR(VLOOKUP($A71,deadlines!$B$2:$H$52,Z$1,FALSE)+1),"","Y"))</f>
        <v>dk</v>
      </c>
      <c r="AA71" s="29" t="str">
        <f>IF(ISERROR(VLOOKUP($A71,deadlines!$B$2:$H$52,AA$1,FALSE)),"dk",IF(ISERROR(VLOOKUP($A71,deadlines!$B$2:$H$52,AA$1,FALSE)+1),"","Y"))</f>
        <v>dk</v>
      </c>
      <c r="AB71" s="36" t="str">
        <f>IF(ISERROR(VLOOKUP($A71,deadlines!$B$2:$H$52,AB$1,FALSE)),"",VLOOKUP($A71,deadlines!$B$2:$H$52,AB$1,FALSE))</f>
        <v/>
      </c>
      <c r="AC71" s="28"/>
      <c r="AD71" s="30"/>
      <c r="AE71" s="29"/>
      <c r="AF71" s="105">
        <v>130590</v>
      </c>
      <c r="AG71" s="29">
        <v>60</v>
      </c>
    </row>
    <row r="72" spans="1:33" x14ac:dyDescent="0.35">
      <c r="A72" s="29" t="str">
        <f>VLOOKUP($AF72,raw!$A$1:$CA$193,61,FALSE)</f>
        <v>Franklin and Marshall College</v>
      </c>
      <c r="B72" s="136"/>
      <c r="C72" s="136"/>
      <c r="D72" s="137"/>
      <c r="E72" s="137"/>
      <c r="F72" s="29" t="str">
        <f>VLOOKUP($AF72,raw!$A$1:$CA$193,F$2,FALSE)</f>
        <v>Lancaster</v>
      </c>
      <c r="G72" s="30" t="str">
        <f>VLOOKUP($AF72,raw!$A$1:$CA$193,G$2,FALSE)</f>
        <v>PA</v>
      </c>
      <c r="H72" s="29" t="str">
        <f>VLOOKUP($AF72,raw!$A$1:$CA$193,H$2,FALSE)</f>
        <v>City: Small</v>
      </c>
      <c r="I72" s="57" t="str">
        <f>CONCATENATE(VLOOKUP($AF72,raw!$A$1:$BZ$193,I$2,FALSE)," - ",VLOOKUP($AF72,raw!$A$1:$BZ$193,I$2+2,FALSE))</f>
        <v>658 - 730</v>
      </c>
      <c r="J72" s="58" t="str">
        <f>CONCATENATE(VLOOKUP($AF72,raw!$A$1:$BZ$193,J$2,FALSE)," - ",VLOOKUP($AF72,raw!$A$1:$BZ$193,J$2+2,FALSE))</f>
        <v>640 - 730</v>
      </c>
      <c r="K72" s="53">
        <f>VLOOKUP($AF72,raw!$A$1:$BZ$193,K$2,FALSE)</f>
        <v>9231</v>
      </c>
      <c r="L72" s="50">
        <f>VLOOKUP($AF72,raw!$A$1:$BZ$193,L$2,FALSE)</f>
        <v>2938</v>
      </c>
      <c r="M72" s="65">
        <f>VLOOKUP($AF72,raw!$A$1:$BZ$193,M$2,FALSE)/100</f>
        <v>0.32</v>
      </c>
      <c r="N72" s="62">
        <f>VLOOKUP($AF72,raw!$A$1:$BZ$193,N$2,FALSE)/K72</f>
        <v>0.49225436030765896</v>
      </c>
      <c r="O72" s="77">
        <f>IF(N72&gt;0,(VLOOKUP($AF72,raw!$A$1:$BZ$193,O$2,FALSE)/(L72*N72)-0),1)</f>
        <v>0.92584697899788115</v>
      </c>
      <c r="P72" s="36">
        <f>VLOOKUP($AF72,raw!$A$1:$BZ$193,P$2,FALSE)/K72</f>
        <v>0.50774563969234099</v>
      </c>
      <c r="Q72" s="77">
        <f>IF(P72&gt;0,(VLOOKUP($AF72,raw!$A$1:$BZ$193,Q$2,FALSE)/(L72*P72)-0),1)</f>
        <v>1.071890618185114</v>
      </c>
      <c r="R72" s="50">
        <f>VLOOKUP($AF72,raw!$A$1:$BZ$193,R$2,FALSE)</f>
        <v>553</v>
      </c>
      <c r="S72" s="40" t="str">
        <f t="shared" si="2"/>
        <v>s</v>
      </c>
      <c r="T72" s="75"/>
      <c r="U72" s="29"/>
      <c r="V72" s="110"/>
      <c r="W72" s="105"/>
      <c r="X72" s="105"/>
      <c r="Y72" s="29" t="str">
        <f>IF(ISERROR(VLOOKUP($A72,deadlines!$B$2:$H$52,Y$1,FALSE)),"dk",IF(ISERROR(VLOOKUP($A72,deadlines!$B$2:$H$52,Y$1,FALSE)+1),"","Y"))</f>
        <v>dk</v>
      </c>
      <c r="Z72" s="29" t="str">
        <f>IF(ISERROR(VLOOKUP($A72,deadlines!$B$2:$H$52,Z$1,FALSE)),"dk",IF(ISERROR(VLOOKUP($A72,deadlines!$B$2:$H$52,Z$1,FALSE)+1),"","Y"))</f>
        <v>dk</v>
      </c>
      <c r="AA72" s="29" t="str">
        <f>IF(ISERROR(VLOOKUP($A72,deadlines!$B$2:$H$52,AA$1,FALSE)),"dk",IF(ISERROR(VLOOKUP($A72,deadlines!$B$2:$H$52,AA$1,FALSE)+1),"","Y"))</f>
        <v>dk</v>
      </c>
      <c r="AB72" s="36" t="str">
        <f>IF(ISERROR(VLOOKUP($A72,deadlines!$B$2:$H$52,AB$1,FALSE)),"",VLOOKUP($A72,deadlines!$B$2:$H$52,AB$1,FALSE))</f>
        <v/>
      </c>
      <c r="AC72" s="28"/>
      <c r="AD72" s="30"/>
      <c r="AE72" s="29"/>
      <c r="AF72" s="105">
        <v>212577</v>
      </c>
      <c r="AG72" s="29">
        <v>99</v>
      </c>
    </row>
    <row r="73" spans="1:33" x14ac:dyDescent="0.35">
      <c r="A73" s="29" t="str">
        <f>VLOOKUP($AF73,raw!$A$1:$CA$193,61,FALSE)</f>
        <v>College of the Holy Cross</v>
      </c>
      <c r="B73" s="136"/>
      <c r="C73" s="136"/>
      <c r="D73" s="137"/>
      <c r="E73" s="137"/>
      <c r="F73" s="29" t="str">
        <f>VLOOKUP($AF73,raw!$A$1:$CA$193,F$2,FALSE)</f>
        <v>Worcester</v>
      </c>
      <c r="G73" s="30" t="str">
        <f>VLOOKUP($AF73,raw!$A$1:$CA$193,G$2,FALSE)</f>
        <v>MA</v>
      </c>
      <c r="H73" s="29" t="str">
        <f>VLOOKUP($AF73,raw!$A$1:$CA$193,H$2,FALSE)</f>
        <v>City: Midsize</v>
      </c>
      <c r="I73" s="57" t="str">
        <f>CONCATENATE(VLOOKUP($AF73,raw!$A$1:$BZ$193,I$2,FALSE)," - ",VLOOKUP($AF73,raw!$A$1:$BZ$193,I$2+2,FALSE))</f>
        <v>630 - 720</v>
      </c>
      <c r="J73" s="58" t="str">
        <f>CONCATENATE(VLOOKUP($AF73,raw!$A$1:$BZ$193,J$2,FALSE)," - ",VLOOKUP($AF73,raw!$A$1:$BZ$193,J$2+2,FALSE))</f>
        <v>620 - 700</v>
      </c>
      <c r="K73" s="53">
        <f>VLOOKUP($AF73,raw!$A$1:$BZ$193,K$2,FALSE)</f>
        <v>8670</v>
      </c>
      <c r="L73" s="50">
        <f>VLOOKUP($AF73,raw!$A$1:$BZ$193,L$2,FALSE)</f>
        <v>1829</v>
      </c>
      <c r="M73" s="65">
        <f>VLOOKUP($AF73,raw!$A$1:$BZ$193,M$2,FALSE)/100</f>
        <v>0.21</v>
      </c>
      <c r="N73" s="62">
        <f>VLOOKUP($AF73,raw!$A$1:$BZ$193,N$2,FALSE)/K73</f>
        <v>0.46562860438292963</v>
      </c>
      <c r="O73" s="77">
        <f>IF(N73&gt;0,(VLOOKUP($AF73,raw!$A$1:$BZ$193,O$2,FALSE)/(L73*N73)-0),1)</f>
        <v>0.98046730942716454</v>
      </c>
      <c r="P73" s="36">
        <f>VLOOKUP($AF73,raw!$A$1:$BZ$193,P$2,FALSE)/K73</f>
        <v>0.53437139561707037</v>
      </c>
      <c r="Q73" s="77">
        <f>IF(P73&gt;0,(VLOOKUP($AF73,raw!$A$1:$BZ$193,Q$2,FALSE)/(L73*P73)-0),1)</f>
        <v>1.0170199593875537</v>
      </c>
      <c r="R73" s="50">
        <f>VLOOKUP($AF73,raw!$A$1:$BZ$193,R$2,FALSE)</f>
        <v>823</v>
      </c>
      <c r="S73" s="40" t="str">
        <f t="shared" si="2"/>
        <v>s</v>
      </c>
      <c r="T73" s="29"/>
      <c r="U73" s="29"/>
      <c r="V73" s="110"/>
      <c r="W73" s="105"/>
      <c r="X73" s="105"/>
      <c r="Y73" s="29" t="str">
        <f>IF(ISERROR(VLOOKUP($A73,deadlines!$B$2:$H$52,Y$1,FALSE)),"dk",IF(ISERROR(VLOOKUP($A73,deadlines!$B$2:$H$52,Y$1,FALSE)+1),"","Y"))</f>
        <v>dk</v>
      </c>
      <c r="Z73" s="29" t="str">
        <f>IF(ISERROR(VLOOKUP($A73,deadlines!$B$2:$H$52,Z$1,FALSE)),"dk",IF(ISERROR(VLOOKUP($A73,deadlines!$B$2:$H$52,Z$1,FALSE)+1),"","Y"))</f>
        <v>dk</v>
      </c>
      <c r="AA73" s="29" t="str">
        <f>IF(ISERROR(VLOOKUP($A73,deadlines!$B$2:$H$52,AA$1,FALSE)),"dk",IF(ISERROR(VLOOKUP($A73,deadlines!$B$2:$H$52,AA$1,FALSE)+1),"","Y"))</f>
        <v>dk</v>
      </c>
      <c r="AB73" s="36" t="str">
        <f>IF(ISERROR(VLOOKUP($A73,deadlines!$B$2:$H$52,AB$1,FALSE)),"",VLOOKUP($A73,deadlines!$B$2:$H$52,AB$1,FALSE))</f>
        <v/>
      </c>
      <c r="AC73" s="28"/>
      <c r="AD73" s="30"/>
      <c r="AE73" s="29"/>
      <c r="AF73" s="105">
        <v>166124</v>
      </c>
      <c r="AG73" s="29">
        <v>19</v>
      </c>
    </row>
    <row r="74" spans="1:33" x14ac:dyDescent="0.35">
      <c r="A74" s="29" t="str">
        <f>VLOOKUP($AF74,raw!$A$1:$CA$193,61,FALSE)</f>
        <v>Lehigh University</v>
      </c>
      <c r="B74" s="136"/>
      <c r="C74" s="136"/>
      <c r="D74" s="137"/>
      <c r="E74" s="137"/>
      <c r="F74" s="29" t="str">
        <f>VLOOKUP($AF74,raw!$A$1:$CA$193,F$2,FALSE)</f>
        <v>Bethlehem</v>
      </c>
      <c r="G74" s="30" t="str">
        <f>VLOOKUP($AF74,raw!$A$1:$CA$193,G$2,FALSE)</f>
        <v>PA</v>
      </c>
      <c r="H74" s="29" t="str">
        <f>VLOOKUP($AF74,raw!$A$1:$CA$193,H$2,FALSE)</f>
        <v>City: Small</v>
      </c>
      <c r="I74" s="57" t="str">
        <f>CONCATENATE(VLOOKUP($AF74,raw!$A$1:$BZ$193,I$2,FALSE)," - ",VLOOKUP($AF74,raw!$A$1:$BZ$193,I$2+2,FALSE))</f>
        <v>670 - 730</v>
      </c>
      <c r="J74" s="58" t="str">
        <f>CONCATENATE(VLOOKUP($AF74,raw!$A$1:$BZ$193,J$2,FALSE)," - ",VLOOKUP($AF74,raw!$A$1:$BZ$193,J$2+2,FALSE))</f>
        <v>680 - 760</v>
      </c>
      <c r="K74" s="53">
        <f>VLOOKUP($AF74,raw!$A$1:$BZ$193,K$2,FALSE)</f>
        <v>18415</v>
      </c>
      <c r="L74" s="50">
        <f>VLOOKUP($AF74,raw!$A$1:$BZ$193,L$2,FALSE)</f>
        <v>5389</v>
      </c>
      <c r="M74" s="65">
        <f>VLOOKUP($AF74,raw!$A$1:$BZ$193,M$2,FALSE)/100</f>
        <v>0.28999999999999998</v>
      </c>
      <c r="N74" s="62">
        <f>VLOOKUP($AF74,raw!$A$1:$BZ$193,N$2,FALSE)/K74</f>
        <v>0.49921259842519683</v>
      </c>
      <c r="O74" s="77">
        <f>IF(N74&gt;0,(VLOOKUP($AF74,raw!$A$1:$BZ$193,O$2,FALSE)/(L74*N74)-0),1)</f>
        <v>0.94266097606234922</v>
      </c>
      <c r="P74" s="36">
        <f>VLOOKUP($AF74,raw!$A$1:$BZ$193,P$2,FALSE)/K74</f>
        <v>0.50078740157480317</v>
      </c>
      <c r="Q74" s="77">
        <f>IF(P74&gt;0,(VLOOKUP($AF74,raw!$A$1:$BZ$193,Q$2,FALSE)/(L74*P74)-0),1)</f>
        <v>1.0571587125416204</v>
      </c>
      <c r="R74" s="50">
        <f>VLOOKUP($AF74,raw!$A$1:$BZ$193,R$2,FALSE)</f>
        <v>1531</v>
      </c>
      <c r="S74" s="40" t="str">
        <f t="shared" si="2"/>
        <v>m</v>
      </c>
      <c r="T74" s="29"/>
      <c r="U74" s="29"/>
      <c r="V74" s="110"/>
      <c r="W74" s="105"/>
      <c r="X74" s="105"/>
      <c r="Y74" s="29" t="str">
        <f>IF(ISERROR(VLOOKUP($A74,deadlines!$B$2:$H$52,Y$1,FALSE)),"dk",IF(ISERROR(VLOOKUP($A74,deadlines!$B$2:$H$52,Y$1,FALSE)+1),"","Y"))</f>
        <v>dk</v>
      </c>
      <c r="Z74" s="29" t="str">
        <f>IF(ISERROR(VLOOKUP($A74,deadlines!$B$2:$H$52,Z$1,FALSE)),"dk",IF(ISERROR(VLOOKUP($A74,deadlines!$B$2:$H$52,Z$1,FALSE)+1),"","Y"))</f>
        <v>dk</v>
      </c>
      <c r="AA74" s="29" t="str">
        <f>IF(ISERROR(VLOOKUP($A74,deadlines!$B$2:$H$52,AA$1,FALSE)),"dk",IF(ISERROR(VLOOKUP($A74,deadlines!$B$2:$H$52,AA$1,FALSE)+1),"","Y"))</f>
        <v>dk</v>
      </c>
      <c r="AB74" s="36" t="str">
        <f>IF(ISERROR(VLOOKUP($A74,deadlines!$B$2:$H$52,AB$1,FALSE)),"",VLOOKUP($A74,deadlines!$B$2:$H$52,AB$1,FALSE))</f>
        <v/>
      </c>
      <c r="AC74" s="28"/>
      <c r="AD74" s="30"/>
      <c r="AE74" s="29"/>
      <c r="AF74" s="105">
        <v>213543</v>
      </c>
      <c r="AG74" s="29">
        <v>38</v>
      </c>
    </row>
    <row r="75" spans="1:33" x14ac:dyDescent="0.35">
      <c r="A75" s="29" t="str">
        <f>VLOOKUP($AF75,raw!$A$1:$CA$193,61,FALSE)</f>
        <v>University of California-Davis</v>
      </c>
      <c r="B75" s="136"/>
      <c r="C75" s="136"/>
      <c r="D75" s="137"/>
      <c r="E75" s="137"/>
      <c r="F75" s="29" t="str">
        <f>VLOOKUP($AF75,raw!$A$1:$CA$193,F$2,FALSE)</f>
        <v>Davis</v>
      </c>
      <c r="G75" s="30" t="str">
        <f>VLOOKUP($AF75,raw!$A$1:$CA$193,G$2,FALSE)</f>
        <v>CA</v>
      </c>
      <c r="H75" s="29" t="str">
        <f>VLOOKUP($AF75,raw!$A$1:$CA$193,H$2,FALSE)</f>
        <v>Suburb: Small</v>
      </c>
      <c r="I75" s="57">
        <v>0</v>
      </c>
      <c r="J75" s="58" t="str">
        <f>CONCATENATE(VLOOKUP($AF75,raw!$A$1:$BZ$193,J$2,FALSE)," - ",VLOOKUP($AF75,raw!$A$1:$BZ$193,J$2+2,FALSE))</f>
        <v xml:space="preserve"> - </v>
      </c>
      <c r="K75" s="53">
        <f>VLOOKUP($AF75,raw!$A$1:$BZ$193,K$2,FALSE)</f>
        <v>94637</v>
      </c>
      <c r="L75" s="50">
        <f>VLOOKUP($AF75,raw!$A$1:$BZ$193,L$2,FALSE)</f>
        <v>39400</v>
      </c>
      <c r="M75" s="65">
        <f>VLOOKUP($AF75,raw!$A$1:$BZ$193,M$2,FALSE)/100</f>
        <v>0.42</v>
      </c>
      <c r="N75" s="62">
        <f>VLOOKUP($AF75,raw!$A$1:$BZ$193,N$2,FALSE)/K75</f>
        <v>0.47018607944038798</v>
      </c>
      <c r="O75" s="77">
        <f>IF(N75&gt;0,(VLOOKUP($AF75,raw!$A$1:$BZ$193,O$2,FALSE)/(L75*N75)-0),1)</f>
        <v>0.87361459490396265</v>
      </c>
      <c r="P75" s="36">
        <f>VLOOKUP($AF75,raw!$A$1:$BZ$193,P$2,FALSE)/K75</f>
        <v>0.52981392055961196</v>
      </c>
      <c r="Q75" s="77">
        <f>IF(P75&gt;0,(VLOOKUP($AF75,raw!$A$1:$BZ$193,Q$2,FALSE)/(L75*P75)-0),1)</f>
        <v>1.1121613755596007</v>
      </c>
      <c r="R75" s="50">
        <f>VLOOKUP($AF75,raw!$A$1:$BZ$193,R$2,FALSE)</f>
        <v>6413</v>
      </c>
      <c r="S75" s="40" t="str">
        <f t="shared" si="2"/>
        <v>l</v>
      </c>
      <c r="T75" s="29"/>
      <c r="U75" s="29"/>
      <c r="V75" s="110"/>
      <c r="W75" s="105"/>
      <c r="X75" s="105"/>
      <c r="Y75" s="29" t="str">
        <f>IF(ISERROR(VLOOKUP($A75,deadlines!$B$2:$H$52,Y$1,FALSE)),"dk",IF(ISERROR(VLOOKUP($A75,deadlines!$B$2:$H$52,Y$1,FALSE)+1),"","Y"))</f>
        <v>dk</v>
      </c>
      <c r="Z75" s="29" t="str">
        <f>IF(ISERROR(VLOOKUP($A75,deadlines!$B$2:$H$52,Z$1,FALSE)),"dk",IF(ISERROR(VLOOKUP($A75,deadlines!$B$2:$H$52,Z$1,FALSE)+1),"","Y"))</f>
        <v>dk</v>
      </c>
      <c r="AA75" s="29" t="str">
        <f>IF(ISERROR(VLOOKUP($A75,deadlines!$B$2:$H$52,AA$1,FALSE)),"dk",IF(ISERROR(VLOOKUP($A75,deadlines!$B$2:$H$52,AA$1,FALSE)+1),"","Y"))</f>
        <v>dk</v>
      </c>
      <c r="AB75" s="36" t="str">
        <f>IF(ISERROR(VLOOKUP($A75,deadlines!$B$2:$H$52,AB$1,FALSE)),"",VLOOKUP($A75,deadlines!$B$2:$H$52,AB$1,FALSE))</f>
        <v/>
      </c>
      <c r="AC75" s="28"/>
      <c r="AD75" s="30"/>
      <c r="AE75" s="29"/>
      <c r="AF75" s="105">
        <v>110644</v>
      </c>
      <c r="AG75" s="29"/>
    </row>
    <row r="76" spans="1:33" x14ac:dyDescent="0.35">
      <c r="A76" s="29" t="str">
        <f>VLOOKUP($AF76,raw!$A$1:$CA$193,61,FALSE)</f>
        <v>Brandeis University</v>
      </c>
      <c r="B76" s="136"/>
      <c r="C76" s="136"/>
      <c r="D76" s="137"/>
      <c r="E76" s="137"/>
      <c r="F76" s="29" t="str">
        <f>VLOOKUP($AF76,raw!$A$1:$CA$193,F$2,FALSE)</f>
        <v>Waltham</v>
      </c>
      <c r="G76" s="30" t="str">
        <f>VLOOKUP($AF76,raw!$A$1:$CA$193,G$2,FALSE)</f>
        <v>MA</v>
      </c>
      <c r="H76" s="29" t="str">
        <f>VLOOKUP($AF76,raw!$A$1:$CA$193,H$2,FALSE)</f>
        <v>City: Small</v>
      </c>
      <c r="I76" s="57" t="str">
        <f>CONCATENATE(VLOOKUP($AF76,raw!$A$1:$BZ$193,I$2,FALSE)," - ",VLOOKUP($AF76,raw!$A$1:$BZ$193,I$2+2,FALSE))</f>
        <v>690 - 750</v>
      </c>
      <c r="J76" s="58" t="str">
        <f>CONCATENATE(VLOOKUP($AF76,raw!$A$1:$BZ$193,J$2,FALSE)," - ",VLOOKUP($AF76,raw!$A$1:$BZ$193,J$2+2,FALSE))</f>
        <v>700 - 780</v>
      </c>
      <c r="K76" s="53">
        <f>VLOOKUP($AF76,raw!$A$1:$BZ$193,K$2,FALSE)</f>
        <v>11282</v>
      </c>
      <c r="L76" s="50">
        <f>VLOOKUP($AF76,raw!$A$1:$BZ$193,L$2,FALSE)</f>
        <v>3984</v>
      </c>
      <c r="M76" s="65">
        <f>VLOOKUP($AF76,raw!$A$1:$BZ$193,M$2,FALSE)/100</f>
        <v>0.35</v>
      </c>
      <c r="N76" s="62">
        <f>VLOOKUP($AF76,raw!$A$1:$BZ$193,N$2,FALSE)/K76</f>
        <v>0.43307924126927849</v>
      </c>
      <c r="O76" s="77">
        <f>IF(N76&gt;0,(VLOOKUP($AF76,raw!$A$1:$BZ$193,O$2,FALSE)/(L76*N76)-0),1)</f>
        <v>0.87342688395826451</v>
      </c>
      <c r="P76" s="36">
        <f>VLOOKUP($AF76,raw!$A$1:$BZ$193,P$2,FALSE)/K76</f>
        <v>0.56692075873072145</v>
      </c>
      <c r="Q76" s="77">
        <f>IF(P76&gt;0,(VLOOKUP($AF76,raw!$A$1:$BZ$193,Q$2,FALSE)/(L76*P76)-0),1)</f>
        <v>1.0966910952126205</v>
      </c>
      <c r="R76" s="50">
        <f>VLOOKUP($AF76,raw!$A$1:$BZ$193,R$2,FALSE)</f>
        <v>865</v>
      </c>
      <c r="S76" s="40" t="str">
        <f t="shared" si="2"/>
        <v>s</v>
      </c>
      <c r="T76" s="29"/>
      <c r="U76" s="29"/>
      <c r="V76" s="110" t="s">
        <v>427</v>
      </c>
      <c r="W76" s="105">
        <v>1</v>
      </c>
      <c r="X76" s="105"/>
      <c r="Y76" s="29" t="str">
        <f>IF(ISERROR(VLOOKUP($A76,deadlines!$B$2:$H$52,Y$1,FALSE)),"dk",IF(ISERROR(VLOOKUP($A76,deadlines!$B$2:$H$52,Y$1,FALSE)+1),"","Y"))</f>
        <v>dk</v>
      </c>
      <c r="Z76" s="29" t="str">
        <f>IF(ISERROR(VLOOKUP($A76,deadlines!$B$2:$H$52,Z$1,FALSE)),"dk",IF(ISERROR(VLOOKUP($A76,deadlines!$B$2:$H$52,Z$1,FALSE)+1),"","Y"))</f>
        <v>dk</v>
      </c>
      <c r="AA76" s="29" t="str">
        <f>IF(ISERROR(VLOOKUP($A76,deadlines!$B$2:$H$52,AA$1,FALSE)),"dk",IF(ISERROR(VLOOKUP($A76,deadlines!$B$2:$H$52,AA$1,FALSE)+1),"","Y"))</f>
        <v>dk</v>
      </c>
      <c r="AB76" s="36" t="str">
        <f>IF(ISERROR(VLOOKUP($A76,deadlines!$B$2:$H$52,AB$1,FALSE)),"",VLOOKUP($A76,deadlines!$B$2:$H$52,AB$1,FALSE))</f>
        <v/>
      </c>
      <c r="AC76" s="28"/>
      <c r="AD76" s="30"/>
      <c r="AE76" s="29"/>
      <c r="AF76" s="105">
        <v>165015</v>
      </c>
      <c r="AG76" s="29">
        <v>10</v>
      </c>
    </row>
    <row r="77" spans="1:33" x14ac:dyDescent="0.35">
      <c r="A77" s="29" t="str">
        <f>VLOOKUP($AF77,raw!$A$1:$CA$193,61,FALSE)</f>
        <v>Occidental College</v>
      </c>
      <c r="B77" s="136"/>
      <c r="C77" s="136"/>
      <c r="D77" s="137"/>
      <c r="E77" s="137"/>
      <c r="F77" s="29" t="str">
        <f>VLOOKUP($AF77,raw!$A$1:$CA$193,F$2,FALSE)</f>
        <v>Los Angeles</v>
      </c>
      <c r="G77" s="30" t="str">
        <f>VLOOKUP($AF77,raw!$A$1:$CA$193,G$2,FALSE)</f>
        <v>CA</v>
      </c>
      <c r="H77" s="29" t="str">
        <f>VLOOKUP($AF77,raw!$A$1:$CA$193,H$2,FALSE)</f>
        <v>City: Large</v>
      </c>
      <c r="I77" s="57" t="str">
        <f>CONCATENATE(VLOOKUP($AF77,raw!$A$1:$BZ$193,I$2,FALSE)," - ",VLOOKUP($AF77,raw!$A$1:$BZ$193,I$2+2,FALSE))</f>
        <v>690 - 750</v>
      </c>
      <c r="J77" s="58" t="str">
        <f>CONCATENATE(VLOOKUP($AF77,raw!$A$1:$BZ$193,J$2,FALSE)," - ",VLOOKUP($AF77,raw!$A$1:$BZ$193,J$2+2,FALSE))</f>
        <v>670 - 750</v>
      </c>
      <c r="K77" s="53">
        <f>VLOOKUP($AF77,raw!$A$1:$BZ$193,K$2,FALSE)</f>
        <v>6573</v>
      </c>
      <c r="L77" s="50">
        <f>VLOOKUP($AF77,raw!$A$1:$BZ$193,L$2,FALSE)</f>
        <v>2622</v>
      </c>
      <c r="M77" s="65">
        <f>VLOOKUP($AF77,raw!$A$1:$BZ$193,M$2,FALSE)/100</f>
        <v>0.4</v>
      </c>
      <c r="N77" s="62">
        <f>VLOOKUP($AF77,raw!$A$1:$BZ$193,N$2,FALSE)/K77</f>
        <v>0.38323444393731931</v>
      </c>
      <c r="O77" s="77">
        <f>IF(N77&gt;0,(VLOOKUP($AF77,raw!$A$1:$BZ$193,O$2,FALSE)/(L77*N77)-0),1)</f>
        <v>0.91755836421230685</v>
      </c>
      <c r="P77" s="36">
        <f>VLOOKUP($AF77,raw!$A$1:$BZ$193,P$2,FALSE)/K77</f>
        <v>0.57538414726913134</v>
      </c>
      <c r="Q77" s="77">
        <f>IF(P77&gt;0,(VLOOKUP($AF77,raw!$A$1:$BZ$193,Q$2,FALSE)/(L77*P77)-0),1)</f>
        <v>1.0612085792390062</v>
      </c>
      <c r="R77" s="50">
        <f>VLOOKUP($AF77,raw!$A$1:$BZ$193,R$2,FALSE)</f>
        <v>532</v>
      </c>
      <c r="S77" s="40" t="str">
        <f t="shared" si="2"/>
        <v>s</v>
      </c>
      <c r="T77" s="29"/>
      <c r="U77" s="29"/>
      <c r="V77" s="110"/>
      <c r="W77" s="105"/>
      <c r="X77" s="105"/>
      <c r="Y77" s="29" t="str">
        <f>IF(ISERROR(VLOOKUP($A77,deadlines!$B$2:$H$52,Y$1,FALSE)),"dk",IF(ISERROR(VLOOKUP($A77,deadlines!$B$2:$H$52,Y$1,FALSE)+1),"","Y"))</f>
        <v>dk</v>
      </c>
      <c r="Z77" s="29" t="str">
        <f>IF(ISERROR(VLOOKUP($A77,deadlines!$B$2:$H$52,Z$1,FALSE)),"dk",IF(ISERROR(VLOOKUP($A77,deadlines!$B$2:$H$52,Z$1,FALSE)+1),"","Y"))</f>
        <v>dk</v>
      </c>
      <c r="AA77" s="29" t="str">
        <f>IF(ISERROR(VLOOKUP($A77,deadlines!$B$2:$H$52,AA$1,FALSE)),"dk",IF(ISERROR(VLOOKUP($A77,deadlines!$B$2:$H$52,AA$1,FALSE)+1),"","Y"))</f>
        <v>dk</v>
      </c>
      <c r="AB77" s="36" t="str">
        <f>IF(ISERROR(VLOOKUP($A77,deadlines!$B$2:$H$52,AB$1,FALSE)),"",VLOOKUP($A77,deadlines!$B$2:$H$52,AB$1,FALSE))</f>
        <v/>
      </c>
      <c r="AC77" s="28"/>
      <c r="AD77" s="30"/>
      <c r="AE77" s="29"/>
      <c r="AF77" s="105">
        <v>120254</v>
      </c>
      <c r="AG77" s="29">
        <v>47</v>
      </c>
    </row>
    <row r="78" spans="1:33" x14ac:dyDescent="0.35">
      <c r="A78" s="29" t="str">
        <f>VLOOKUP($AF78,raw!$A$1:$CA$193,61,FALSE)</f>
        <v>University of Rochester</v>
      </c>
      <c r="B78" s="136"/>
      <c r="C78" s="136"/>
      <c r="D78" s="137"/>
      <c r="E78" s="137"/>
      <c r="F78" s="29" t="str">
        <f>VLOOKUP($AF78,raw!$A$1:$CA$193,F$2,FALSE)</f>
        <v>Rochester</v>
      </c>
      <c r="G78" s="30" t="str">
        <f>VLOOKUP($AF78,raw!$A$1:$CA$193,G$2,FALSE)</f>
        <v>NY</v>
      </c>
      <c r="H78" s="29" t="str">
        <f>VLOOKUP($AF78,raw!$A$1:$CA$193,H$2,FALSE)</f>
        <v>City: Midsize</v>
      </c>
      <c r="I78" s="57" t="str">
        <f>CONCATENATE(VLOOKUP($AF78,raw!$A$1:$BZ$193,I$2,FALSE)," - ",VLOOKUP($AF78,raw!$A$1:$BZ$193,I$2+2,FALSE))</f>
        <v>690 - 750</v>
      </c>
      <c r="J78" s="58" t="str">
        <f>CONCATENATE(VLOOKUP($AF78,raw!$A$1:$BZ$193,J$2,FALSE)," - ",VLOOKUP($AF78,raw!$A$1:$BZ$193,J$2+2,FALSE))</f>
        <v>710 - 790</v>
      </c>
      <c r="K78" s="53">
        <f>VLOOKUP($AF78,raw!$A$1:$BZ$193,K$2,FALSE)</f>
        <v>21680</v>
      </c>
      <c r="L78" s="50">
        <f>VLOOKUP($AF78,raw!$A$1:$BZ$193,L$2,FALSE)</f>
        <v>7773</v>
      </c>
      <c r="M78" s="65">
        <f>VLOOKUP($AF78,raw!$A$1:$BZ$193,M$2,FALSE)/100</f>
        <v>0.36</v>
      </c>
      <c r="N78" s="62">
        <f>VLOOKUP($AF78,raw!$A$1:$BZ$193,N$2,FALSE)/K78</f>
        <v>0.50078413284132839</v>
      </c>
      <c r="O78" s="77">
        <f>IF(N78&gt;0,(VLOOKUP($AF78,raw!$A$1:$BZ$193,O$2,FALSE)/(L78*N78)-0),1)</f>
        <v>0.87448089090435344</v>
      </c>
      <c r="P78" s="36">
        <f>VLOOKUP($AF78,raw!$A$1:$BZ$193,P$2,FALSE)/K78</f>
        <v>0.49921586715867161</v>
      </c>
      <c r="Q78" s="77">
        <f>IF(P78&gt;0,(VLOOKUP($AF78,raw!$A$1:$BZ$193,Q$2,FALSE)/(L78*P78)-0),1)</f>
        <v>1.1259134221058333</v>
      </c>
      <c r="R78" s="50">
        <f>VLOOKUP($AF78,raw!$A$1:$BZ$193,R$2,FALSE)</f>
        <v>1543</v>
      </c>
      <c r="S78" s="40" t="str">
        <f t="shared" si="2"/>
        <v>m</v>
      </c>
      <c r="T78" s="29"/>
      <c r="U78" s="29"/>
      <c r="V78" s="110"/>
      <c r="W78" s="105"/>
      <c r="X78" s="105"/>
      <c r="Y78" s="29" t="str">
        <f>IF(ISERROR(VLOOKUP($A78,deadlines!$B$2:$H$52,Y$1,FALSE)),"dk",IF(ISERROR(VLOOKUP($A78,deadlines!$B$2:$H$52,Y$1,FALSE)+1),"","Y"))</f>
        <v>dk</v>
      </c>
      <c r="Z78" s="29" t="str">
        <f>IF(ISERROR(VLOOKUP($A78,deadlines!$B$2:$H$52,Z$1,FALSE)),"dk",IF(ISERROR(VLOOKUP($A78,deadlines!$B$2:$H$52,Z$1,FALSE)+1),"","Y"))</f>
        <v>dk</v>
      </c>
      <c r="AA78" s="29" t="str">
        <f>IF(ISERROR(VLOOKUP($A78,deadlines!$B$2:$H$52,AA$1,FALSE)),"dk",IF(ISERROR(VLOOKUP($A78,deadlines!$B$2:$H$52,AA$1,FALSE)+1),"","Y"))</f>
        <v>dk</v>
      </c>
      <c r="AB78" s="36" t="str">
        <f>IF(ISERROR(VLOOKUP($A78,deadlines!$B$2:$H$52,AB$1,FALSE)),"",VLOOKUP($A78,deadlines!$B$2:$H$52,AB$1,FALSE))</f>
        <v/>
      </c>
      <c r="AC78" s="28"/>
      <c r="AD78" s="30"/>
      <c r="AE78" s="29"/>
      <c r="AF78" s="105">
        <v>195030</v>
      </c>
      <c r="AG78" s="29">
        <v>76</v>
      </c>
    </row>
    <row r="79" spans="1:33" x14ac:dyDescent="0.35">
      <c r="A79" s="29" t="str">
        <f>VLOOKUP($AF79,raw!$A$1:$CA$193,61,FALSE)</f>
        <v>Connecticut College</v>
      </c>
      <c r="B79" s="136"/>
      <c r="C79" s="136"/>
      <c r="D79" s="137"/>
      <c r="E79" s="137"/>
      <c r="F79" s="29" t="str">
        <f>VLOOKUP($AF79,raw!$A$1:$CA$193,F$2,FALSE)</f>
        <v>New London</v>
      </c>
      <c r="G79" s="30" t="str">
        <f>VLOOKUP($AF79,raw!$A$1:$CA$193,G$2,FALSE)</f>
        <v>CT</v>
      </c>
      <c r="H79" s="29" t="str">
        <f>VLOOKUP($AF79,raw!$A$1:$CA$193,H$2,FALSE)</f>
        <v>City: Small</v>
      </c>
      <c r="I79" s="57" t="str">
        <f>CONCATENATE(VLOOKUP($AF79,raw!$A$1:$BZ$193,I$2,FALSE)," - ",VLOOKUP($AF79,raw!$A$1:$BZ$193,I$2+2,FALSE))</f>
        <v>680 - 740</v>
      </c>
      <c r="J79" s="58" t="str">
        <f>CONCATENATE(VLOOKUP($AF79,raw!$A$1:$BZ$193,J$2,FALSE)," - ",VLOOKUP($AF79,raw!$A$1:$BZ$193,J$2+2,FALSE))</f>
        <v>660 - 730</v>
      </c>
      <c r="K79" s="53">
        <f>VLOOKUP($AF79,raw!$A$1:$BZ$193,K$2,FALSE)</f>
        <v>9397</v>
      </c>
      <c r="L79" s="50">
        <f>VLOOKUP($AF79,raw!$A$1:$BZ$193,L$2,FALSE)</f>
        <v>3597</v>
      </c>
      <c r="M79" s="65">
        <f>VLOOKUP($AF79,raw!$A$1:$BZ$193,M$2,FALSE)/100</f>
        <v>0.38</v>
      </c>
      <c r="N79" s="62">
        <f>VLOOKUP($AF79,raw!$A$1:$BZ$193,N$2,FALSE)/K79</f>
        <v>0.40161753751197188</v>
      </c>
      <c r="O79" s="77">
        <f>IF(N79&gt;0,(VLOOKUP($AF79,raw!$A$1:$BZ$193,O$2,FALSE)/(L79*N79)-0),1)</f>
        <v>0.83413038216060342</v>
      </c>
      <c r="P79" s="36">
        <f>VLOOKUP($AF79,raw!$A$1:$BZ$193,P$2,FALSE)/K79</f>
        <v>0.59838246248802807</v>
      </c>
      <c r="Q79" s="77">
        <f>IF(P79&gt;0,(VLOOKUP($AF79,raw!$A$1:$BZ$193,Q$2,FALSE)/(L79*P79)-0),1)</f>
        <v>1.1113270385427498</v>
      </c>
      <c r="R79" s="50">
        <f>VLOOKUP($AF79,raw!$A$1:$BZ$193,R$2,FALSE)</f>
        <v>555</v>
      </c>
      <c r="S79" s="40" t="str">
        <f t="shared" si="2"/>
        <v>s</v>
      </c>
      <c r="T79" s="29"/>
      <c r="U79" s="29"/>
      <c r="V79" s="110"/>
      <c r="W79" s="105"/>
      <c r="X79" s="105"/>
      <c r="Y79" s="29" t="str">
        <f>IF(ISERROR(VLOOKUP($A79,deadlines!$B$2:$H$52,Y$1,FALSE)),"dk",IF(ISERROR(VLOOKUP($A79,deadlines!$B$2:$H$52,Y$1,FALSE)+1),"","Y"))</f>
        <v>dk</v>
      </c>
      <c r="Z79" s="29" t="str">
        <f>IF(ISERROR(VLOOKUP($A79,deadlines!$B$2:$H$52,Z$1,FALSE)),"dk",IF(ISERROR(VLOOKUP($A79,deadlines!$B$2:$H$52,Z$1,FALSE)+1),"","Y"))</f>
        <v>dk</v>
      </c>
      <c r="AA79" s="29" t="str">
        <f>IF(ISERROR(VLOOKUP($A79,deadlines!$B$2:$H$52,AA$1,FALSE)),"dk",IF(ISERROR(VLOOKUP($A79,deadlines!$B$2:$H$52,AA$1,FALSE)+1),"","Y"))</f>
        <v>dk</v>
      </c>
      <c r="AB79" s="36" t="str">
        <f>IF(ISERROR(VLOOKUP($A79,deadlines!$B$2:$H$52,AB$1,FALSE)),"",VLOOKUP($A79,deadlines!$B$2:$H$52,AB$1,FALSE))</f>
        <v/>
      </c>
      <c r="AC79" s="28"/>
      <c r="AD79" s="30"/>
      <c r="AE79" s="29"/>
      <c r="AF79" s="105">
        <v>128902</v>
      </c>
      <c r="AG79" s="29">
        <v>104</v>
      </c>
    </row>
    <row r="80" spans="1:33" x14ac:dyDescent="0.35">
      <c r="A80" s="29" t="str">
        <f>VLOOKUP($AF80,raw!$A$1:$CA$193,61,FALSE)</f>
        <v>American University</v>
      </c>
      <c r="B80" s="136"/>
      <c r="C80" s="136"/>
      <c r="D80" s="137"/>
      <c r="E80" s="137"/>
      <c r="F80" s="29" t="str">
        <f>VLOOKUP($AF80,raw!$A$1:$CA$193,F$2,FALSE)</f>
        <v>Washington</v>
      </c>
      <c r="G80" s="30" t="str">
        <f>VLOOKUP($AF80,raw!$A$1:$CA$193,G$2,FALSE)</f>
        <v>DC</v>
      </c>
      <c r="H80" s="29" t="str">
        <f>VLOOKUP($AF80,raw!$A$1:$CA$193,H$2,FALSE)</f>
        <v>City: Large</v>
      </c>
      <c r="I80" s="57" t="str">
        <f>CONCATENATE(VLOOKUP($AF80,raw!$A$1:$BZ$193,I$2,FALSE)," - ",VLOOKUP($AF80,raw!$A$1:$BZ$193,I$2+2,FALSE))</f>
        <v>670 - 740</v>
      </c>
      <c r="J80" s="58" t="str">
        <f>CONCATENATE(VLOOKUP($AF80,raw!$A$1:$BZ$193,J$2,FALSE)," - ",VLOOKUP($AF80,raw!$A$1:$BZ$193,J$2+2,FALSE))</f>
        <v>630 - 710</v>
      </c>
      <c r="K80" s="53">
        <f>VLOOKUP($AF80,raw!$A$1:$BZ$193,K$2,FALSE)</f>
        <v>17786</v>
      </c>
      <c r="L80" s="50">
        <f>VLOOKUP($AF80,raw!$A$1:$BZ$193,L$2,FALSE)</f>
        <v>8427</v>
      </c>
      <c r="M80" s="65">
        <f>VLOOKUP($AF80,raw!$A$1:$BZ$193,M$2,FALSE)/100</f>
        <v>0.47</v>
      </c>
      <c r="N80" s="62">
        <f>VLOOKUP($AF80,raw!$A$1:$BZ$193,N$2,FALSE)/K80</f>
        <v>0.33678173844596876</v>
      </c>
      <c r="O80" s="77">
        <f>IF(N80&gt;0,(VLOOKUP($AF80,raw!$A$1:$BZ$193,O$2,FALSE)/(L80*N80)-0),1)</f>
        <v>1.0908861392935063</v>
      </c>
      <c r="P80" s="36">
        <f>VLOOKUP($AF80,raw!$A$1:$BZ$193,P$2,FALSE)/K80</f>
        <v>0.6632182615540313</v>
      </c>
      <c r="Q80" s="77">
        <f>IF(P80&gt;0,(VLOOKUP($AF80,raw!$A$1:$BZ$193,Q$2,FALSE)/(L80*P80)-0),1)</f>
        <v>0.95384808626923501</v>
      </c>
      <c r="R80" s="50">
        <f>VLOOKUP($AF80,raw!$A$1:$BZ$193,R$2,FALSE)</f>
        <v>1848</v>
      </c>
      <c r="S80" s="40" t="str">
        <f t="shared" si="2"/>
        <v>m</v>
      </c>
      <c r="T80" s="29"/>
      <c r="U80" s="29"/>
      <c r="V80" s="110"/>
      <c r="W80" s="105"/>
      <c r="X80" s="105"/>
      <c r="Y80" s="29" t="str">
        <f>IF(ISERROR(VLOOKUP($A80,deadlines!$B$2:$H$52,Y$1,FALSE)),"dk",IF(ISERROR(VLOOKUP($A80,deadlines!$B$2:$H$52,Y$1,FALSE)+1),"","Y"))</f>
        <v>dk</v>
      </c>
      <c r="Z80" s="29" t="str">
        <f>IF(ISERROR(VLOOKUP($A80,deadlines!$B$2:$H$52,Z$1,FALSE)),"dk",IF(ISERROR(VLOOKUP($A80,deadlines!$B$2:$H$52,Z$1,FALSE)+1),"","Y"))</f>
        <v>dk</v>
      </c>
      <c r="AA80" s="29" t="str">
        <f>IF(ISERROR(VLOOKUP($A80,deadlines!$B$2:$H$52,AA$1,FALSE)),"dk",IF(ISERROR(VLOOKUP($A80,deadlines!$B$2:$H$52,AA$1,FALSE)+1),"","Y"))</f>
        <v>dk</v>
      </c>
      <c r="AB80" s="36" t="str">
        <f>IF(ISERROR(VLOOKUP($A80,deadlines!$B$2:$H$52,AB$1,FALSE)),"",VLOOKUP($A80,deadlines!$B$2:$H$52,AB$1,FALSE))</f>
        <v/>
      </c>
      <c r="AC80" s="28"/>
      <c r="AD80" s="30"/>
      <c r="AE80" s="29"/>
      <c r="AF80" s="105">
        <v>131159</v>
      </c>
      <c r="AG80" s="29">
        <v>1</v>
      </c>
    </row>
    <row r="81" spans="1:33" x14ac:dyDescent="0.35">
      <c r="A81" s="29" t="str">
        <f>VLOOKUP($AF81,raw!$A$1:$CA$193,61,FALSE)</f>
        <v>Binghamton University</v>
      </c>
      <c r="B81" s="136"/>
      <c r="C81" s="136"/>
      <c r="D81" s="137"/>
      <c r="E81" s="137"/>
      <c r="F81" s="29" t="str">
        <f>VLOOKUP($AF81,raw!$A$1:$CA$193,F$2,FALSE)</f>
        <v>Vestal</v>
      </c>
      <c r="G81" s="30" t="str">
        <f>VLOOKUP($AF81,raw!$A$1:$CA$193,G$2,FALSE)</f>
        <v>NY</v>
      </c>
      <c r="H81" s="29" t="str">
        <f>VLOOKUP($AF81,raw!$A$1:$CA$193,H$2,FALSE)</f>
        <v>Suburb: Midsize</v>
      </c>
      <c r="I81" s="57" t="str">
        <f>CONCATENATE(VLOOKUP($AF81,raw!$A$1:$BZ$193,I$2,FALSE)," - ",VLOOKUP($AF81,raw!$A$1:$BZ$193,I$2+2,FALSE))</f>
        <v>660 - 730</v>
      </c>
      <c r="J81" s="58" t="str">
        <f>CONCATENATE(VLOOKUP($AF81,raw!$A$1:$BZ$193,J$2,FALSE)," - ",VLOOKUP($AF81,raw!$A$1:$BZ$193,J$2+2,FALSE))</f>
        <v>660 - 760</v>
      </c>
      <c r="K81" s="53">
        <f>VLOOKUP($AF81,raw!$A$1:$BZ$193,K$2,FALSE)</f>
        <v>49513</v>
      </c>
      <c r="L81" s="50">
        <f>VLOOKUP($AF81,raw!$A$1:$BZ$193,L$2,FALSE)</f>
        <v>18683</v>
      </c>
      <c r="M81" s="65">
        <f>VLOOKUP($AF81,raw!$A$1:$BZ$193,M$2,FALSE)/100</f>
        <v>0.38</v>
      </c>
      <c r="N81" s="62">
        <f>VLOOKUP($AF81,raw!$A$1:$BZ$193,N$2,FALSE)/K81</f>
        <v>0.44697352210530567</v>
      </c>
      <c r="O81" s="77">
        <f>IF(N81&gt;0,(VLOOKUP($AF81,raw!$A$1:$BZ$193,O$2,FALSE)/(L81*N81)-0),1)</f>
        <v>0.96098504728016743</v>
      </c>
      <c r="P81" s="36">
        <f>VLOOKUP($AF81,raw!$A$1:$BZ$193,P$2,FALSE)/K81</f>
        <v>0.55302647789469428</v>
      </c>
      <c r="Q81" s="77">
        <f>IF(P81&gt;0,(VLOOKUP($AF81,raw!$A$1:$BZ$193,Q$2,FALSE)/(L81*P81)-0),1)</f>
        <v>1.0315331209788408</v>
      </c>
      <c r="R81" s="50">
        <f>VLOOKUP($AF81,raw!$A$1:$BZ$193,R$2,FALSE)</f>
        <v>3088</v>
      </c>
      <c r="S81" s="40" t="str">
        <f t="shared" si="2"/>
        <v>l</v>
      </c>
      <c r="T81" s="75"/>
      <c r="U81" s="29"/>
      <c r="V81" s="110"/>
      <c r="W81" s="105"/>
      <c r="X81" s="105"/>
      <c r="Y81" s="29" t="str">
        <f>IF(ISERROR(VLOOKUP($A81,deadlines!$B$2:$H$52,Y$1,FALSE)),"dk",IF(ISERROR(VLOOKUP($A81,deadlines!$B$2:$H$52,Y$1,FALSE)+1),"","Y"))</f>
        <v>dk</v>
      </c>
      <c r="Z81" s="29" t="str">
        <f>IF(ISERROR(VLOOKUP($A81,deadlines!$B$2:$H$52,Z$1,FALSE)),"dk",IF(ISERROR(VLOOKUP($A81,deadlines!$B$2:$H$52,Z$1,FALSE)+1),"","Y"))</f>
        <v>dk</v>
      </c>
      <c r="AA81" s="29" t="str">
        <f>IF(ISERROR(VLOOKUP($A81,deadlines!$B$2:$H$52,AA$1,FALSE)),"dk",IF(ISERROR(VLOOKUP($A81,deadlines!$B$2:$H$52,AA$1,FALSE)+1),"","Y"))</f>
        <v>dk</v>
      </c>
      <c r="AB81" s="36" t="str">
        <f>IF(ISERROR(VLOOKUP($A81,deadlines!$B$2:$H$52,AB$1,FALSE)),"",VLOOKUP($A81,deadlines!$B$2:$H$52,AB$1,FALSE))</f>
        <v/>
      </c>
      <c r="AC81" s="28"/>
      <c r="AD81" s="30"/>
      <c r="AE81" s="29"/>
      <c r="AF81" s="105">
        <v>196079</v>
      </c>
      <c r="AG81" s="29">
        <v>101</v>
      </c>
    </row>
    <row r="82" spans="1:33" x14ac:dyDescent="0.35">
      <c r="A82" s="29" t="str">
        <f>VLOOKUP($AF82,raw!$A$1:$CA$193,61,FALSE)</f>
        <v>University of Illinois Urbana-Champaign</v>
      </c>
      <c r="B82" s="136"/>
      <c r="C82" s="136"/>
      <c r="D82" s="137"/>
      <c r="E82" s="137"/>
      <c r="F82" s="29" t="str">
        <f>VLOOKUP($AF82,raw!$A$1:$CA$193,F$2,FALSE)</f>
        <v>Champaign</v>
      </c>
      <c r="G82" s="30" t="str">
        <f>VLOOKUP($AF82,raw!$A$1:$CA$193,G$2,FALSE)</f>
        <v>IL</v>
      </c>
      <c r="H82" s="29" t="str">
        <f>VLOOKUP($AF82,raw!$A$1:$CA$193,H$2,FALSE)</f>
        <v>City: Small</v>
      </c>
      <c r="I82" s="57" t="str">
        <f>CONCATENATE(VLOOKUP($AF82,raw!$A$1:$BZ$193,I$2,FALSE)," - ",VLOOKUP($AF82,raw!$A$1:$BZ$193,I$2+2,FALSE))</f>
        <v>630 - 730</v>
      </c>
      <c r="J82" s="58" t="str">
        <f>CONCATENATE(VLOOKUP($AF82,raw!$A$1:$BZ$193,J$2,FALSE)," - ",VLOOKUP($AF82,raw!$A$1:$BZ$193,J$2+2,FALSE))</f>
        <v>640 - 780</v>
      </c>
      <c r="K82" s="53">
        <f>VLOOKUP($AF82,raw!$A$1:$BZ$193,K$2,FALSE)</f>
        <v>67398</v>
      </c>
      <c r="L82" s="50">
        <f>VLOOKUP($AF82,raw!$A$1:$BZ$193,L$2,FALSE)</f>
        <v>29446</v>
      </c>
      <c r="M82" s="65">
        <f>VLOOKUP($AF82,raw!$A$1:$BZ$193,M$2,FALSE)/100</f>
        <v>0.44</v>
      </c>
      <c r="N82" s="62">
        <f>VLOOKUP($AF82,raw!$A$1:$BZ$193,N$2,FALSE)/K82</f>
        <v>0.56967565803139564</v>
      </c>
      <c r="O82" s="77">
        <f>IF(N82&gt;0,(VLOOKUP($AF82,raw!$A$1:$BZ$193,O$2,FALSE)/(L82*N82)-0),1)</f>
        <v>0.84603753667246484</v>
      </c>
      <c r="P82" s="36">
        <f>VLOOKUP($AF82,raw!$A$1:$BZ$193,P$2,FALSE)/K82</f>
        <v>0.43011662067123652</v>
      </c>
      <c r="Q82" s="77">
        <f>IF(P82&gt;0,(VLOOKUP($AF82,raw!$A$1:$BZ$193,Q$2,FALSE)/(L82*P82)-0),1)</f>
        <v>1.2039275439964514</v>
      </c>
      <c r="R82" s="50">
        <f>VLOOKUP($AF82,raw!$A$1:$BZ$193,R$2,FALSE)</f>
        <v>8316</v>
      </c>
      <c r="S82" s="40" t="str">
        <f t="shared" si="2"/>
        <v>l</v>
      </c>
      <c r="T82" s="29"/>
      <c r="U82" s="29"/>
      <c r="V82" s="110"/>
      <c r="W82" s="105"/>
      <c r="X82" s="105"/>
      <c r="Y82" s="29" t="str">
        <f>IF(ISERROR(VLOOKUP($A82,deadlines!$B$2:$H$52,Y$1,FALSE)),"dk",IF(ISERROR(VLOOKUP($A82,deadlines!$B$2:$H$52,Y$1,FALSE)+1),"","Y"))</f>
        <v>dk</v>
      </c>
      <c r="Z82" s="29" t="str">
        <f>IF(ISERROR(VLOOKUP($A82,deadlines!$B$2:$H$52,Z$1,FALSE)),"dk",IF(ISERROR(VLOOKUP($A82,deadlines!$B$2:$H$52,Z$1,FALSE)+1),"","Y"))</f>
        <v>dk</v>
      </c>
      <c r="AA82" s="29" t="str">
        <f>IF(ISERROR(VLOOKUP($A82,deadlines!$B$2:$H$52,AA$1,FALSE)),"dk",IF(ISERROR(VLOOKUP($A82,deadlines!$B$2:$H$52,AA$1,FALSE)+1),"","Y"))</f>
        <v>dk</v>
      </c>
      <c r="AB82" s="36" t="str">
        <f>IF(ISERROR(VLOOKUP($A82,deadlines!$B$2:$H$52,AB$1,FALSE)),"",VLOOKUP($A82,deadlines!$B$2:$H$52,AB$1,FALSE))</f>
        <v/>
      </c>
      <c r="AC82" s="28"/>
      <c r="AD82" s="30"/>
      <c r="AE82" s="29"/>
      <c r="AF82" s="105">
        <v>145637</v>
      </c>
      <c r="AG82" s="29">
        <v>97</v>
      </c>
    </row>
    <row r="83" spans="1:33" x14ac:dyDescent="0.35">
      <c r="A83" s="29" t="str">
        <f>VLOOKUP($AF83,raw!$A$1:$CA$193,61,FALSE)</f>
        <v>Bard College</v>
      </c>
      <c r="B83" s="136"/>
      <c r="C83" s="136"/>
      <c r="D83" s="137"/>
      <c r="E83" s="137"/>
      <c r="F83" s="29" t="str">
        <f>VLOOKUP($AF83,raw!$A$1:$CA$193,F$2,FALSE)</f>
        <v>Annandale-On-Hudson</v>
      </c>
      <c r="G83" s="30" t="str">
        <f>VLOOKUP($AF83,raw!$A$1:$CA$193,G$2,FALSE)</f>
        <v>NY</v>
      </c>
      <c r="H83" s="29" t="str">
        <f>VLOOKUP($AF83,raw!$A$1:$CA$193,H$2,FALSE)</f>
        <v>Rural: Fringe</v>
      </c>
      <c r="I83" s="57" t="str">
        <f>CONCATENATE(VLOOKUP($AF83,raw!$A$1:$BZ$193,I$2,FALSE)," - ",VLOOKUP($AF83,raw!$A$1:$BZ$193,I$2+2,FALSE))</f>
        <v>670 - 740</v>
      </c>
      <c r="J83" s="58" t="str">
        <f>CONCATENATE(VLOOKUP($AF83,raw!$A$1:$BZ$193,J$2,FALSE)," - ",VLOOKUP($AF83,raw!$A$1:$BZ$193,J$2+2,FALSE))</f>
        <v>620 - 700</v>
      </c>
      <c r="K83" s="53">
        <f>VLOOKUP($AF83,raw!$A$1:$BZ$193,K$2,FALSE)</f>
        <v>6628</v>
      </c>
      <c r="L83" s="50">
        <f>VLOOKUP($AF83,raw!$A$1:$BZ$193,L$2,FALSE)</f>
        <v>3466</v>
      </c>
      <c r="M83" s="65">
        <f>VLOOKUP($AF83,raw!$A$1:$BZ$193,M$2,FALSE)/100</f>
        <v>0.52</v>
      </c>
      <c r="N83" s="62">
        <f>VLOOKUP($AF83,raw!$A$1:$BZ$193,N$2,FALSE)/K83</f>
        <v>0.34535304767652386</v>
      </c>
      <c r="O83" s="77">
        <f>IF(N83&gt;0,(VLOOKUP($AF83,raw!$A$1:$BZ$193,O$2,FALSE)/(L83*N83)-0),1)</f>
        <v>0.88388103670506246</v>
      </c>
      <c r="P83" s="36">
        <f>VLOOKUP($AF83,raw!$A$1:$BZ$193,P$2,FALSE)/K83</f>
        <v>0.65464695232347614</v>
      </c>
      <c r="Q83" s="77">
        <f>IF(P83&gt;0,(VLOOKUP($AF83,raw!$A$1:$BZ$193,Q$2,FALSE)/(L83*P83)-0),1)</f>
        <v>1.0612575033376612</v>
      </c>
      <c r="R83" s="50">
        <f>VLOOKUP($AF83,raw!$A$1:$BZ$193,R$2,FALSE)</f>
        <v>402</v>
      </c>
      <c r="S83" s="40" t="str">
        <f t="shared" si="2"/>
        <v>s</v>
      </c>
      <c r="T83" s="29"/>
      <c r="U83" s="29"/>
      <c r="V83" s="110"/>
      <c r="W83" s="105"/>
      <c r="X83" s="105"/>
      <c r="Y83" s="29" t="str">
        <f>IF(ISERROR(VLOOKUP($A83,deadlines!$B$2:$H$52,Y$1,FALSE)),"dk",IF(ISERROR(VLOOKUP($A83,deadlines!$B$2:$H$52,Y$1,FALSE)+1),"","Y"))</f>
        <v>Y</v>
      </c>
      <c r="Z83" s="29" t="str">
        <f>IF(ISERROR(VLOOKUP($A83,deadlines!$B$2:$H$52,Z$1,FALSE)),"dk",IF(ISERROR(VLOOKUP($A83,deadlines!$B$2:$H$52,Z$1,FALSE)+1),"","Y"))</f>
        <v>Y</v>
      </c>
      <c r="AA83" s="29" t="str">
        <f>IF(ISERROR(VLOOKUP($A83,deadlines!$B$2:$H$52,AA$1,FALSE)),"dk",IF(ISERROR(VLOOKUP($A83,deadlines!$B$2:$H$52,AA$1,FALSE)+1),"","Y"))</f>
        <v>Y</v>
      </c>
      <c r="AB83" s="36" t="str">
        <f>IF(ISERROR(VLOOKUP($A83,deadlines!$B$2:$H$52,AB$1,FALSE)),"",VLOOKUP($A83,deadlines!$B$2:$H$52,AB$1,FALSE))</f>
        <v>n/a</v>
      </c>
      <c r="AC83" s="28"/>
      <c r="AD83" s="30"/>
      <c r="AE83" s="29"/>
      <c r="AF83" s="105">
        <v>189088</v>
      </c>
      <c r="AG83" s="29">
        <v>3</v>
      </c>
    </row>
    <row r="84" spans="1:33" x14ac:dyDescent="0.35">
      <c r="A84" s="29" t="str">
        <f>VLOOKUP($AF84,raw!$A$1:$CA$193,61,FALSE)</f>
        <v>University of Wisconsin-Madison</v>
      </c>
      <c r="B84" s="136"/>
      <c r="C84" s="136"/>
      <c r="D84" s="137"/>
      <c r="E84" s="137"/>
      <c r="F84" s="29" t="str">
        <f>VLOOKUP($AF84,raw!$A$1:$CA$193,F$2,FALSE)</f>
        <v>Madison</v>
      </c>
      <c r="G84" s="30" t="str">
        <f>VLOOKUP($AF84,raw!$A$1:$CA$193,G$2,FALSE)</f>
        <v>WI</v>
      </c>
      <c r="H84" s="73" t="str">
        <f>VLOOKUP($AF84,raw!$A$1:$CA$193,H$2,FALSE)</f>
        <v>City: Large</v>
      </c>
      <c r="I84" s="57" t="str">
        <f>CONCATENATE(VLOOKUP($AF84,raw!$A$1:$BZ$193,I$2,FALSE)," - ",VLOOKUP($AF84,raw!$A$1:$BZ$193,I$2+2,FALSE))</f>
        <v>660 - 730</v>
      </c>
      <c r="J84" s="58" t="str">
        <f>CONCATENATE(VLOOKUP($AF84,raw!$A$1:$BZ$193,J$2,FALSE)," - ",VLOOKUP($AF84,raw!$A$1:$BZ$193,J$2+2,FALSE))</f>
        <v>700 - 780</v>
      </c>
      <c r="K84" s="53">
        <f>VLOOKUP($AF84,raw!$A$1:$BZ$193,K$2,FALSE)</f>
        <v>63505</v>
      </c>
      <c r="L84" s="50">
        <f>VLOOKUP($AF84,raw!$A$1:$BZ$193,L$2,FALSE)</f>
        <v>27529</v>
      </c>
      <c r="M84" s="65">
        <f>VLOOKUP($AF84,raw!$A$1:$BZ$193,M$2,FALSE)/100</f>
        <v>0.43</v>
      </c>
      <c r="N84" s="62">
        <f>VLOOKUP($AF84,raw!$A$1:$BZ$193,N$2,FALSE)/K84</f>
        <v>0.49589796079048892</v>
      </c>
      <c r="O84" s="77">
        <f>IF(N84&gt;0,(VLOOKUP($AF84,raw!$A$1:$BZ$193,O$2,FALSE)/(L84*N84)-0),1)</f>
        <v>0.94033106327783378</v>
      </c>
      <c r="P84" s="36">
        <f>VLOOKUP($AF84,raw!$A$1:$BZ$193,P$2,FALSE)/K84</f>
        <v>0.50405479883473747</v>
      </c>
      <c r="Q84" s="77">
        <f>IF(P84&gt;0,(VLOOKUP($AF84,raw!$A$1:$BZ$193,Q$2,FALSE)/(L84*P84)-0),1)</f>
        <v>1.0586529358055392</v>
      </c>
      <c r="R84" s="50">
        <f>VLOOKUP($AF84,raw!$A$1:$BZ$193,R$2,FALSE)</f>
        <v>7937</v>
      </c>
      <c r="S84" s="40" t="str">
        <f t="shared" si="2"/>
        <v>l</v>
      </c>
      <c r="T84" s="29"/>
      <c r="U84" s="28"/>
      <c r="V84" s="110" t="s">
        <v>427</v>
      </c>
      <c r="W84" s="105">
        <v>1</v>
      </c>
      <c r="X84" s="105">
        <v>1</v>
      </c>
      <c r="Y84" s="75" t="str">
        <f>IF(ISERROR(VLOOKUP($A84,deadlines!$B$2:$H$52,Y$1,FALSE)),"dk",IF(ISERROR(VLOOKUP($A84,deadlines!$B$2:$H$52,Y$1,FALSE)+1),"","Y"))</f>
        <v/>
      </c>
      <c r="Z84" s="75" t="str">
        <f>IF(ISERROR(VLOOKUP($A84,deadlines!$B$2:$H$52,Z$1,FALSE)),"dk",IF(ISERROR(VLOOKUP($A84,deadlines!$B$2:$H$52,Z$1,FALSE)+1),"","Y"))</f>
        <v/>
      </c>
      <c r="AA84" s="75" t="str">
        <f>IF(ISERROR(VLOOKUP($A84,deadlines!$B$2:$H$52,AA$1,FALSE)),"dk",IF(ISERROR(VLOOKUP($A84,deadlines!$B$2:$H$52,AA$1,FALSE)+1),"","Y"))</f>
        <v>Y</v>
      </c>
      <c r="AB84" s="95" t="str">
        <f>IF(ISERROR(VLOOKUP($A84,deadlines!$B$2:$H$52,AB$1,FALSE)),"",VLOOKUP($A84,deadlines!$B$2:$H$52,AB$1,FALSE))</f>
        <v>n/a</v>
      </c>
      <c r="AC84" s="28"/>
      <c r="AD84" s="30"/>
      <c r="AE84" s="29"/>
      <c r="AF84" s="105">
        <v>240444</v>
      </c>
      <c r="AG84" s="29">
        <v>82</v>
      </c>
    </row>
    <row r="85" spans="1:33" x14ac:dyDescent="0.35">
      <c r="A85" s="29" t="str">
        <f>VLOOKUP($AF85,raw!$A$1:$CA$193,61,FALSE)</f>
        <v>George Washington University</v>
      </c>
      <c r="B85" s="136"/>
      <c r="C85" s="136"/>
      <c r="D85" s="137"/>
      <c r="E85" s="137"/>
      <c r="F85" s="29" t="str">
        <f>VLOOKUP($AF85,raw!$A$1:$CA$193,F$2,FALSE)</f>
        <v>Washington</v>
      </c>
      <c r="G85" s="30" t="str">
        <f>VLOOKUP($AF85,raw!$A$1:$CA$193,G$2,FALSE)</f>
        <v>DC</v>
      </c>
      <c r="H85" s="29" t="str">
        <f>VLOOKUP($AF85,raw!$A$1:$CA$193,H$2,FALSE)</f>
        <v>City: Large</v>
      </c>
      <c r="I85" s="57" t="str">
        <f>CONCATENATE(VLOOKUP($AF85,raw!$A$1:$BZ$193,I$2,FALSE)," - ",VLOOKUP($AF85,raw!$A$1:$BZ$193,I$2+2,FALSE))</f>
        <v>680 - 750</v>
      </c>
      <c r="J85" s="58" t="str">
        <f>CONCATENATE(VLOOKUP($AF85,raw!$A$1:$BZ$193,J$2,FALSE)," - ",VLOOKUP($AF85,raw!$A$1:$BZ$193,J$2+2,FALSE))</f>
        <v>670 - 750</v>
      </c>
      <c r="K85" s="53">
        <f>VLOOKUP($AF85,raw!$A$1:$BZ$193,K$2,FALSE)</f>
        <v>27094</v>
      </c>
      <c r="L85" s="50">
        <f>VLOOKUP($AF85,raw!$A$1:$BZ$193,L$2,FALSE)</f>
        <v>11798</v>
      </c>
      <c r="M85" s="65">
        <f>VLOOKUP($AF85,raw!$A$1:$BZ$193,M$2,FALSE)/100</f>
        <v>0.44</v>
      </c>
      <c r="N85" s="62">
        <f>VLOOKUP($AF85,raw!$A$1:$BZ$193,N$2,FALSE)/K85</f>
        <v>0.35709013065623385</v>
      </c>
      <c r="O85" s="77">
        <f>IF(N85&gt;0,(VLOOKUP($AF85,raw!$A$1:$BZ$193,O$2,FALSE)/(L85*N85)-0),1)</f>
        <v>1.0289703549806761</v>
      </c>
      <c r="P85" s="36">
        <f>VLOOKUP($AF85,raw!$A$1:$BZ$193,P$2,FALSE)/K85</f>
        <v>0.64290986934376615</v>
      </c>
      <c r="Q85" s="77">
        <f>IF(P85&gt;0,(VLOOKUP($AF85,raw!$A$1:$BZ$193,Q$2,FALSE)/(L85*P85)-0),1)</f>
        <v>0.98390905422595787</v>
      </c>
      <c r="R85" s="50">
        <f>VLOOKUP($AF85,raw!$A$1:$BZ$193,R$2,FALSE)</f>
        <v>2528</v>
      </c>
      <c r="S85" s="40" t="str">
        <f t="shared" si="2"/>
        <v>l</v>
      </c>
      <c r="T85" s="29"/>
      <c r="U85" s="29"/>
      <c r="V85" s="110"/>
      <c r="W85" s="105"/>
      <c r="X85" s="105"/>
      <c r="Y85" s="29" t="str">
        <f>IF(ISERROR(VLOOKUP($A85,deadlines!$B$2:$H$52,Y$1,FALSE)),"dk",IF(ISERROR(VLOOKUP($A85,deadlines!$B$2:$H$52,Y$1,FALSE)+1),"","Y"))</f>
        <v>dk</v>
      </c>
      <c r="Z85" s="29" t="str">
        <f>IF(ISERROR(VLOOKUP($A85,deadlines!$B$2:$H$52,Z$1,FALSE)),"dk",IF(ISERROR(VLOOKUP($A85,deadlines!$B$2:$H$52,Z$1,FALSE)+1),"","Y"))</f>
        <v>dk</v>
      </c>
      <c r="AA85" s="29" t="str">
        <f>IF(ISERROR(VLOOKUP($A85,deadlines!$B$2:$H$52,AA$1,FALSE)),"dk",IF(ISERROR(VLOOKUP($A85,deadlines!$B$2:$H$52,AA$1,FALSE)+1),"","Y"))</f>
        <v>dk</v>
      </c>
      <c r="AB85" s="36" t="str">
        <f>IF(ISERROR(VLOOKUP($A85,deadlines!$B$2:$H$52,AB$1,FALSE)),"",VLOOKUP($A85,deadlines!$B$2:$H$52,AB$1,FALSE))</f>
        <v/>
      </c>
      <c r="AC85" s="28"/>
      <c r="AD85" s="30"/>
      <c r="AE85" s="29"/>
      <c r="AF85" s="105">
        <v>131469</v>
      </c>
      <c r="AG85" s="29">
        <v>29</v>
      </c>
    </row>
    <row r="86" spans="1:33" x14ac:dyDescent="0.35">
      <c r="A86" s="29" t="str">
        <f>VLOOKUP($AF86,raw!$A$1:$CA$193,61,FALSE)</f>
        <v>Sarah Lawrence College</v>
      </c>
      <c r="B86" s="136"/>
      <c r="C86" s="136"/>
      <c r="D86" s="137"/>
      <c r="E86" s="137"/>
      <c r="F86" s="29" t="str">
        <f>VLOOKUP($AF86,raw!$A$1:$CA$193,F$2,FALSE)</f>
        <v>Bronxville</v>
      </c>
      <c r="G86" s="30" t="str">
        <f>VLOOKUP($AF86,raw!$A$1:$CA$193,G$2,FALSE)</f>
        <v>NY</v>
      </c>
      <c r="H86" s="29" t="str">
        <f>VLOOKUP($AF86,raw!$A$1:$CA$193,H$2,FALSE)</f>
        <v>Suburb: Large</v>
      </c>
      <c r="I86" s="57" t="str">
        <f>CONCATENATE(VLOOKUP($AF86,raw!$A$1:$BZ$193,I$2,FALSE)," - ",VLOOKUP($AF86,raw!$A$1:$BZ$193,I$2+2,FALSE))</f>
        <v>680 - 730</v>
      </c>
      <c r="J86" s="58" t="str">
        <f>CONCATENATE(VLOOKUP($AF86,raw!$A$1:$BZ$193,J$2,FALSE)," - ",VLOOKUP($AF86,raw!$A$1:$BZ$193,J$2+2,FALSE))</f>
        <v>590 - 710</v>
      </c>
      <c r="K86" s="53">
        <f>VLOOKUP($AF86,raw!$A$1:$BZ$193,K$2,FALSE)</f>
        <v>4819</v>
      </c>
      <c r="L86" s="50">
        <f>VLOOKUP($AF86,raw!$A$1:$BZ$193,L$2,FALSE)</f>
        <v>2840</v>
      </c>
      <c r="M86" s="65">
        <f>VLOOKUP($AF86,raw!$A$1:$BZ$193,M$2,FALSE)/100</f>
        <v>0.59</v>
      </c>
      <c r="N86" s="62">
        <f>VLOOKUP($AF86,raw!$A$1:$BZ$193,N$2,FALSE)/K86</f>
        <v>0.17514007055405686</v>
      </c>
      <c r="O86" s="77">
        <f>IF(N86&gt;0,(VLOOKUP($AF86,raw!$A$1:$BZ$193,O$2,FALSE)/(L86*N86)-0),1)</f>
        <v>1.0755978405980908</v>
      </c>
      <c r="P86" s="36">
        <f>VLOOKUP($AF86,raw!$A$1:$BZ$193,P$2,FALSE)/K86</f>
        <v>0.82485992944594311</v>
      </c>
      <c r="Q86" s="77">
        <f>IF(P86&gt;0,(VLOOKUP($AF86,raw!$A$1:$BZ$193,Q$2,FALSE)/(L86*P86)-0),1)</f>
        <v>0.98394853397112236</v>
      </c>
      <c r="R86" s="50">
        <f>VLOOKUP($AF86,raw!$A$1:$BZ$193,R$2,FALSE)</f>
        <v>411</v>
      </c>
      <c r="S86" s="40" t="str">
        <f t="shared" si="2"/>
        <v>s</v>
      </c>
      <c r="T86" s="29"/>
      <c r="U86" s="29"/>
      <c r="V86" s="110"/>
      <c r="W86" s="105"/>
      <c r="X86" s="105"/>
      <c r="Y86" s="29" t="str">
        <f>IF(ISERROR(VLOOKUP($A86,deadlines!$B$2:$H$52,Y$1,FALSE)),"dk",IF(ISERROR(VLOOKUP($A86,deadlines!$B$2:$H$52,Y$1,FALSE)+1),"","Y"))</f>
        <v>dk</v>
      </c>
      <c r="Z86" s="29" t="str">
        <f>IF(ISERROR(VLOOKUP($A86,deadlines!$B$2:$H$52,Z$1,FALSE)),"dk",IF(ISERROR(VLOOKUP($A86,deadlines!$B$2:$H$52,Z$1,FALSE)+1),"","Y"))</f>
        <v>dk</v>
      </c>
      <c r="AA86" s="29" t="str">
        <f>IF(ISERROR(VLOOKUP($A86,deadlines!$B$2:$H$52,AA$1,FALSE)),"dk",IF(ISERROR(VLOOKUP($A86,deadlines!$B$2:$H$52,AA$1,FALSE)+1),"","Y"))</f>
        <v>dk</v>
      </c>
      <c r="AB86" s="36" t="str">
        <f>IF(ISERROR(VLOOKUP($A86,deadlines!$B$2:$H$52,AB$1,FALSE)),"",VLOOKUP($A86,deadlines!$B$2:$H$52,AB$1,FALSE))</f>
        <v/>
      </c>
      <c r="AC86" s="28"/>
      <c r="AD86" s="30"/>
      <c r="AE86" s="29"/>
      <c r="AF86" s="105">
        <v>195304</v>
      </c>
      <c r="AG86" s="29">
        <v>54</v>
      </c>
    </row>
    <row r="87" spans="1:33" x14ac:dyDescent="0.35">
      <c r="A87" s="29" t="str">
        <f>VLOOKUP($AF87,raw!$A$1:$CA$193,61,FALSE)</f>
        <v>Clark University</v>
      </c>
      <c r="B87" s="136"/>
      <c r="C87" s="136"/>
      <c r="D87" s="137"/>
      <c r="E87" s="137"/>
      <c r="F87" s="29" t="str">
        <f>VLOOKUP($AF87,raw!$A$1:$CA$193,F$2,FALSE)</f>
        <v>Worcester</v>
      </c>
      <c r="G87" s="30" t="str">
        <f>VLOOKUP($AF87,raw!$A$1:$CA$193,G$2,FALSE)</f>
        <v>MA</v>
      </c>
      <c r="H87" s="29" t="str">
        <f>VLOOKUP($AF87,raw!$A$1:$CA$193,H$2,FALSE)</f>
        <v>City: Midsize</v>
      </c>
      <c r="I87" s="57" t="str">
        <f>CONCATENATE(VLOOKUP($AF87,raw!$A$1:$BZ$193,I$2,FALSE)," - ",VLOOKUP($AF87,raw!$A$1:$BZ$193,I$2+2,FALSE))</f>
        <v>640 - 710</v>
      </c>
      <c r="J87" s="58" t="str">
        <f>CONCATENATE(VLOOKUP($AF87,raw!$A$1:$BZ$193,J$2,FALSE)," - ",VLOOKUP($AF87,raw!$A$1:$BZ$193,J$2+2,FALSE))</f>
        <v>600 - 690</v>
      </c>
      <c r="K87" s="53">
        <f>VLOOKUP($AF87,raw!$A$1:$BZ$193,K$2,FALSE)</f>
        <v>10730</v>
      </c>
      <c r="L87" s="50">
        <f>VLOOKUP($AF87,raw!$A$1:$BZ$193,L$2,FALSE)</f>
        <v>4471</v>
      </c>
      <c r="M87" s="65">
        <f>VLOOKUP($AF87,raw!$A$1:$BZ$193,M$2,FALSE)/100</f>
        <v>0.42</v>
      </c>
      <c r="N87" s="62">
        <f>VLOOKUP($AF87,raw!$A$1:$BZ$193,N$2,FALSE)/K87</f>
        <v>0.42413793103448277</v>
      </c>
      <c r="O87" s="77">
        <f>IF(N87&gt;0,(VLOOKUP($AF87,raw!$A$1:$BZ$193,O$2,FALSE)/(L87*N87)-0),1)</f>
        <v>0.89963686485444594</v>
      </c>
      <c r="P87" s="36">
        <f>VLOOKUP($AF87,raw!$A$1:$BZ$193,P$2,FALSE)/K87</f>
        <v>0.57586206896551728</v>
      </c>
      <c r="Q87" s="77">
        <f>IF(P87&gt;0,(VLOOKUP($AF87,raw!$A$1:$BZ$193,Q$2,FALSE)/(L87*P87)-0),1)</f>
        <v>1.0739201534305578</v>
      </c>
      <c r="R87" s="50">
        <f>VLOOKUP($AF87,raw!$A$1:$BZ$193,R$2,FALSE)</f>
        <v>629</v>
      </c>
      <c r="S87" s="40" t="str">
        <f t="shared" si="2"/>
        <v>s</v>
      </c>
      <c r="T87" s="29"/>
      <c r="U87" s="29"/>
      <c r="V87" s="110"/>
      <c r="W87" s="105"/>
      <c r="X87" s="105"/>
      <c r="Y87" s="29" t="str">
        <f>IF(ISERROR(VLOOKUP($A87,deadlines!$B$2:$H$52,Y$1,FALSE)),"dk",IF(ISERROR(VLOOKUP($A87,deadlines!$B$2:$H$52,Y$1,FALSE)+1),"","Y"))</f>
        <v>dk</v>
      </c>
      <c r="Z87" s="29" t="str">
        <f>IF(ISERROR(VLOOKUP($A87,deadlines!$B$2:$H$52,Z$1,FALSE)),"dk",IF(ISERROR(VLOOKUP($A87,deadlines!$B$2:$H$52,Z$1,FALSE)+1),"","Y"))</f>
        <v>dk</v>
      </c>
      <c r="AA87" s="29" t="str">
        <f>IF(ISERROR(VLOOKUP($A87,deadlines!$B$2:$H$52,AA$1,FALSE)),"dk",IF(ISERROR(VLOOKUP($A87,deadlines!$B$2:$H$52,AA$1,FALSE)+1),"","Y"))</f>
        <v>dk</v>
      </c>
      <c r="AB87" s="36" t="str">
        <f>IF(ISERROR(VLOOKUP($A87,deadlines!$B$2:$H$52,AB$1,FALSE)),"",VLOOKUP($A87,deadlines!$B$2:$H$52,AB$1,FALSE))</f>
        <v/>
      </c>
      <c r="AC87" s="28"/>
      <c r="AD87" s="30"/>
      <c r="AE87" s="29"/>
      <c r="AF87" s="105">
        <v>165334</v>
      </c>
      <c r="AG87" s="29">
        <v>16</v>
      </c>
    </row>
    <row r="88" spans="1:33" x14ac:dyDescent="0.35">
      <c r="A88" s="29" t="str">
        <f>VLOOKUP($AF88,raw!$A$1:$CA$193,61,FALSE)</f>
        <v>Southern Methodist University</v>
      </c>
      <c r="B88" s="136"/>
      <c r="C88" s="136"/>
      <c r="D88" s="137"/>
      <c r="E88" s="137"/>
      <c r="F88" s="29" t="str">
        <f>VLOOKUP($AF88,raw!$A$1:$CA$193,F$2,FALSE)</f>
        <v>Dallas</v>
      </c>
      <c r="G88" s="30" t="str">
        <f>VLOOKUP($AF88,raw!$A$1:$CA$193,G$2,FALSE)</f>
        <v>TX</v>
      </c>
      <c r="H88" s="29" t="str">
        <f>VLOOKUP($AF88,raw!$A$1:$CA$193,H$2,FALSE)</f>
        <v>Suburb: Large</v>
      </c>
      <c r="I88" s="57" t="str">
        <f>CONCATENATE(VLOOKUP($AF88,raw!$A$1:$BZ$193,I$2,FALSE)," - ",VLOOKUP($AF88,raw!$A$1:$BZ$193,I$2+2,FALSE))</f>
        <v>660 - 730</v>
      </c>
      <c r="J88" s="58" t="str">
        <f>CONCATENATE(VLOOKUP($AF88,raw!$A$1:$BZ$193,J$2,FALSE)," - ",VLOOKUP($AF88,raw!$A$1:$BZ$193,J$2+2,FALSE))</f>
        <v>660 - 750</v>
      </c>
      <c r="K88" s="53">
        <f>VLOOKUP($AF88,raw!$A$1:$BZ$193,K$2,FALSE)</f>
        <v>15092</v>
      </c>
      <c r="L88" s="50">
        <f>VLOOKUP($AF88,raw!$A$1:$BZ$193,L$2,FALSE)</f>
        <v>9240</v>
      </c>
      <c r="M88" s="65">
        <f>VLOOKUP($AF88,raw!$A$1:$BZ$193,M$2,FALSE)/100</f>
        <v>0.61</v>
      </c>
      <c r="N88" s="62">
        <f>VLOOKUP($AF88,raw!$A$1:$BZ$193,N$2,FALSE)/K88</f>
        <v>0.47044791942751124</v>
      </c>
      <c r="O88" s="77">
        <f>IF(N88&gt;0,(VLOOKUP($AF88,raw!$A$1:$BZ$193,O$2,FALSE)/(L88*N88)-0),1)</f>
        <v>0.95745539906103305</v>
      </c>
      <c r="P88" s="36">
        <f>VLOOKUP($AF88,raw!$A$1:$BZ$193,P$2,FALSE)/K88</f>
        <v>0.5295520805724887</v>
      </c>
      <c r="Q88" s="77">
        <f>IF(P88&gt;0,(VLOOKUP($AF88,raw!$A$1:$BZ$193,Q$2,FALSE)/(L88*P88)-0),1)</f>
        <v>1.0377961294627962</v>
      </c>
      <c r="R88" s="50">
        <f>VLOOKUP($AF88,raw!$A$1:$BZ$193,R$2,FALSE)</f>
        <v>1592</v>
      </c>
      <c r="S88" s="40" t="str">
        <f t="shared" si="2"/>
        <v>m</v>
      </c>
      <c r="T88" s="29"/>
      <c r="U88" s="29"/>
      <c r="V88" s="110"/>
      <c r="W88" s="105"/>
      <c r="X88" s="105"/>
      <c r="Y88" s="29" t="str">
        <f>IF(ISERROR(VLOOKUP($A88,deadlines!$B$2:$H$52,Y$1,FALSE)),"dk",IF(ISERROR(VLOOKUP($A88,deadlines!$B$2:$H$52,Y$1,FALSE)+1),"","Y"))</f>
        <v>dk</v>
      </c>
      <c r="Z88" s="29" t="str">
        <f>IF(ISERROR(VLOOKUP($A88,deadlines!$B$2:$H$52,Z$1,FALSE)),"dk",IF(ISERROR(VLOOKUP($A88,deadlines!$B$2:$H$52,Z$1,FALSE)+1),"","Y"))</f>
        <v>dk</v>
      </c>
      <c r="AA88" s="29" t="str">
        <f>IF(ISERROR(VLOOKUP($A88,deadlines!$B$2:$H$52,AA$1,FALSE)),"dk",IF(ISERROR(VLOOKUP($A88,deadlines!$B$2:$H$52,AA$1,FALSE)+1),"","Y"))</f>
        <v>dk</v>
      </c>
      <c r="AB88" s="36" t="str">
        <f>IF(ISERROR(VLOOKUP($A88,deadlines!$B$2:$H$52,AB$1,FALSE)),"",VLOOKUP($A88,deadlines!$B$2:$H$52,AB$1,FALSE))</f>
        <v/>
      </c>
      <c r="AC88" s="28"/>
      <c r="AD88" s="30"/>
      <c r="AE88" s="29"/>
      <c r="AF88" s="105">
        <v>228246</v>
      </c>
      <c r="AG88" s="29">
        <v>57</v>
      </c>
    </row>
    <row r="89" spans="1:33" x14ac:dyDescent="0.35">
      <c r="A89" s="29" t="str">
        <f>VLOOKUP($AF89,raw!$A$1:$CA$193,61,FALSE)</f>
        <v>Syracuse University</v>
      </c>
      <c r="B89" s="136"/>
      <c r="C89" s="136"/>
      <c r="D89" s="137"/>
      <c r="E89" s="137"/>
      <c r="F89" s="29" t="str">
        <f>VLOOKUP($AF89,raw!$A$1:$CA$193,F$2,FALSE)</f>
        <v>Syracuse</v>
      </c>
      <c r="G89" s="30" t="str">
        <f>VLOOKUP($AF89,raw!$A$1:$CA$193,G$2,FALSE)</f>
        <v>NY</v>
      </c>
      <c r="H89" s="29" t="str">
        <f>VLOOKUP($AF89,raw!$A$1:$CA$193,H$2,FALSE)</f>
        <v>City: Midsize</v>
      </c>
      <c r="I89" s="57" t="str">
        <f>CONCATENATE(VLOOKUP($AF89,raw!$A$1:$BZ$193,I$2,FALSE)," - ",VLOOKUP($AF89,raw!$A$1:$BZ$193,I$2+2,FALSE))</f>
        <v>630 - 710</v>
      </c>
      <c r="J89" s="58" t="str">
        <f>CONCATENATE(VLOOKUP($AF89,raw!$A$1:$BZ$193,J$2,FALSE)," - ",VLOOKUP($AF89,raw!$A$1:$BZ$193,J$2+2,FALSE))</f>
        <v>630 - 720</v>
      </c>
      <c r="K89" s="53">
        <f>VLOOKUP($AF89,raw!$A$1:$BZ$193,K$2,FALSE)</f>
        <v>42089</v>
      </c>
      <c r="L89" s="50">
        <f>VLOOKUP($AF89,raw!$A$1:$BZ$193,L$2,FALSE)</f>
        <v>17545</v>
      </c>
      <c r="M89" s="65">
        <f>VLOOKUP($AF89,raw!$A$1:$BZ$193,M$2,FALSE)/100</f>
        <v>0.42</v>
      </c>
      <c r="N89" s="62">
        <f>VLOOKUP($AF89,raw!$A$1:$BZ$193,N$2,FALSE)/K89</f>
        <v>0.408729121623227</v>
      </c>
      <c r="O89" s="77">
        <f>IF(N89&gt;0,(VLOOKUP($AF89,raw!$A$1:$BZ$193,O$2,FALSE)/(L89*N89)-0),1)</f>
        <v>1.0137840552077186</v>
      </c>
      <c r="P89" s="36">
        <f>VLOOKUP($AF89,raw!$A$1:$BZ$193,P$2,FALSE)/K89</f>
        <v>0.59079569483713079</v>
      </c>
      <c r="Q89" s="77">
        <f>IF(P89&gt;0,(VLOOKUP($AF89,raw!$A$1:$BZ$193,Q$2,FALSE)/(L89*P89)-0),1)</f>
        <v>0.99126811301623163</v>
      </c>
      <c r="R89" s="50">
        <f>VLOOKUP($AF89,raw!$A$1:$BZ$193,R$2,FALSE)</f>
        <v>3663</v>
      </c>
      <c r="S89" s="40" t="str">
        <f t="shared" si="2"/>
        <v>l</v>
      </c>
      <c r="T89" s="29"/>
      <c r="U89" s="29"/>
      <c r="V89" s="110"/>
      <c r="W89" s="105"/>
      <c r="X89" s="105"/>
      <c r="Y89" s="29" t="str">
        <f>IF(ISERROR(VLOOKUP($A89,deadlines!$B$2:$H$52,Y$1,FALSE)),"dk",IF(ISERROR(VLOOKUP($A89,deadlines!$B$2:$H$52,Y$1,FALSE)+1),"","Y"))</f>
        <v>dk</v>
      </c>
      <c r="Z89" s="29" t="str">
        <f>IF(ISERROR(VLOOKUP($A89,deadlines!$B$2:$H$52,Z$1,FALSE)),"dk",IF(ISERROR(VLOOKUP($A89,deadlines!$B$2:$H$52,Z$1,FALSE)+1),"","Y"))</f>
        <v>dk</v>
      </c>
      <c r="AA89" s="29" t="str">
        <f>IF(ISERROR(VLOOKUP($A89,deadlines!$B$2:$H$52,AA$1,FALSE)),"dk",IF(ISERROR(VLOOKUP($A89,deadlines!$B$2:$H$52,AA$1,FALSE)+1),"","Y"))</f>
        <v>dk</v>
      </c>
      <c r="AB89" s="36" t="str">
        <f>IF(ISERROR(VLOOKUP($A89,deadlines!$B$2:$H$52,AB$1,FALSE)),"",VLOOKUP($A89,deadlines!$B$2:$H$52,AB$1,FALSE))</f>
        <v/>
      </c>
      <c r="AC89" s="28"/>
      <c r="AD89" s="30"/>
      <c r="AE89" s="29"/>
      <c r="AF89" s="105">
        <v>196413</v>
      </c>
      <c r="AG89" s="29">
        <v>94</v>
      </c>
    </row>
    <row r="90" spans="1:33" x14ac:dyDescent="0.35">
      <c r="A90" s="29" t="str">
        <f>VLOOKUP($AF90,raw!$A$1:$CA$193,61,FALSE)</f>
        <v>Howard University</v>
      </c>
      <c r="B90" s="136"/>
      <c r="C90" s="136"/>
      <c r="D90" s="137"/>
      <c r="E90" s="137"/>
      <c r="F90" s="29" t="str">
        <f>VLOOKUP($AF90,raw!$A$1:$CA$193,F$2,FALSE)</f>
        <v>Washington</v>
      </c>
      <c r="G90" s="30" t="str">
        <f>VLOOKUP($AF90,raw!$A$1:$CA$193,G$2,FALSE)</f>
        <v>DC</v>
      </c>
      <c r="H90" s="29" t="str">
        <f>VLOOKUP($AF90,raw!$A$1:$CA$193,H$2,FALSE)</f>
        <v>City: Large</v>
      </c>
      <c r="I90" s="57" t="str">
        <f>CONCATENATE(VLOOKUP($AF90,raw!$A$1:$BZ$193,I$2,FALSE)," - ",VLOOKUP($AF90,raw!$A$1:$BZ$193,I$2+2,FALSE))</f>
        <v>560 - 660</v>
      </c>
      <c r="J90" s="58" t="str">
        <f>CONCATENATE(VLOOKUP($AF90,raw!$A$1:$BZ$193,J$2,FALSE)," - ",VLOOKUP($AF90,raw!$A$1:$BZ$193,J$2+2,FALSE))</f>
        <v>540 - 638</v>
      </c>
      <c r="K90" s="53">
        <f>VLOOKUP($AF90,raw!$A$1:$BZ$193,K$2,FALSE)</f>
        <v>30342</v>
      </c>
      <c r="L90" s="50">
        <f>VLOOKUP($AF90,raw!$A$1:$BZ$193,L$2,FALSE)</f>
        <v>10587</v>
      </c>
      <c r="M90" s="65">
        <f>VLOOKUP($AF90,raw!$A$1:$BZ$193,M$2,FALSE)/100</f>
        <v>0.35</v>
      </c>
      <c r="N90" s="62">
        <f>VLOOKUP($AF90,raw!$A$1:$BZ$193,N$2,FALSE)/K90</f>
        <v>0.29213631270186541</v>
      </c>
      <c r="O90" s="77">
        <f>IF(N90&gt;0,(VLOOKUP($AF90,raw!$A$1:$BZ$193,O$2,FALSE)/(L90*N90)-0),1)</f>
        <v>0.92794757312540843</v>
      </c>
      <c r="P90" s="36">
        <f>VLOOKUP($AF90,raw!$A$1:$BZ$193,P$2,FALSE)/K90</f>
        <v>0.70786368729813465</v>
      </c>
      <c r="Q90" s="77">
        <f>IF(P90&gt;0,(VLOOKUP($AF90,raw!$A$1:$BZ$193,Q$2,FALSE)/(L90*P90)-0),1)</f>
        <v>1.0297361351995706</v>
      </c>
      <c r="R90" s="50">
        <f>VLOOKUP($AF90,raw!$A$1:$BZ$193,R$2,FALSE)</f>
        <v>2261</v>
      </c>
      <c r="S90" s="40" t="str">
        <f t="shared" si="2"/>
        <v>l</v>
      </c>
      <c r="T90" s="29"/>
      <c r="U90" s="29"/>
      <c r="V90" s="110"/>
      <c r="W90" s="105"/>
      <c r="X90" s="105"/>
      <c r="Y90" s="29" t="str">
        <f>IF(ISERROR(VLOOKUP($A90,deadlines!$B$2:$H$52,Y$1,FALSE)),"dk",IF(ISERROR(VLOOKUP($A90,deadlines!$B$2:$H$52,Y$1,FALSE)+1),"","Y"))</f>
        <v>dk</v>
      </c>
      <c r="Z90" s="29" t="str">
        <f>IF(ISERROR(VLOOKUP($A90,deadlines!$B$2:$H$52,Z$1,FALSE)),"dk",IF(ISERROR(VLOOKUP($A90,deadlines!$B$2:$H$52,Z$1,FALSE)+1),"","Y"))</f>
        <v>dk</v>
      </c>
      <c r="AA90" s="29" t="str">
        <f>IF(ISERROR(VLOOKUP($A90,deadlines!$B$2:$H$52,AA$1,FALSE)),"dk",IF(ISERROR(VLOOKUP($A90,deadlines!$B$2:$H$52,AA$1,FALSE)+1),"","Y"))</f>
        <v>dk</v>
      </c>
      <c r="AB90" s="36" t="str">
        <f>IF(ISERROR(VLOOKUP($A90,deadlines!$B$2:$H$52,AB$1,FALSE)),"",VLOOKUP($A90,deadlines!$B$2:$H$52,AB$1,FALSE))</f>
        <v/>
      </c>
      <c r="AC90" s="28"/>
      <c r="AD90" s="30"/>
      <c r="AE90" s="29"/>
      <c r="AF90" s="105">
        <v>131520</v>
      </c>
      <c r="AG90" s="29">
        <v>35</v>
      </c>
    </row>
    <row r="91" spans="1:33" x14ac:dyDescent="0.35">
      <c r="A91" s="29" t="str">
        <f>VLOOKUP($AF91,raw!$A$1:$CA$193,61,FALSE)</f>
        <v>Virginia Polytechnic Institute and State University</v>
      </c>
      <c r="B91" s="136"/>
      <c r="C91" s="136"/>
      <c r="D91" s="137"/>
      <c r="E91" s="137"/>
      <c r="F91" s="29" t="str">
        <f>VLOOKUP($AF91,raw!$A$1:$CA$193,F$2,FALSE)</f>
        <v>Blacksburg</v>
      </c>
      <c r="G91" s="30" t="str">
        <f>VLOOKUP($AF91,raw!$A$1:$CA$193,G$2,FALSE)</f>
        <v>VA</v>
      </c>
      <c r="H91" s="29" t="str">
        <f>VLOOKUP($AF91,raw!$A$1:$CA$193,H$2,FALSE)</f>
        <v>City: Small</v>
      </c>
      <c r="I91" s="57" t="str">
        <f>CONCATENATE(VLOOKUP($AF91,raw!$A$1:$BZ$193,I$2,FALSE)," - ",VLOOKUP($AF91,raw!$A$1:$BZ$193,I$2+2,FALSE))</f>
        <v>620 - 700</v>
      </c>
      <c r="J91" s="58" t="str">
        <f>CONCATENATE(VLOOKUP($AF91,raw!$A$1:$BZ$193,J$2,FALSE)," - ",VLOOKUP($AF91,raw!$A$1:$BZ$193,J$2+2,FALSE))</f>
        <v>620 - 720</v>
      </c>
      <c r="K91" s="53">
        <f>VLOOKUP($AF91,raw!$A$1:$BZ$193,K$2,FALSE)</f>
        <v>47208</v>
      </c>
      <c r="L91" s="50">
        <f>VLOOKUP($AF91,raw!$A$1:$BZ$193,L$2,FALSE)</f>
        <v>26923</v>
      </c>
      <c r="M91" s="65">
        <f>VLOOKUP($AF91,raw!$A$1:$BZ$193,M$2,FALSE)/100</f>
        <v>0.56999999999999995</v>
      </c>
      <c r="N91" s="62">
        <f>VLOOKUP($AF91,raw!$A$1:$BZ$193,N$2,FALSE)/K91</f>
        <v>0.57121674292492797</v>
      </c>
      <c r="O91" s="77">
        <f>IF(N91&gt;0,(VLOOKUP($AF91,raw!$A$1:$BZ$193,O$2,FALSE)/(L91*N91)-0),1)</f>
        <v>0.94460786390223228</v>
      </c>
      <c r="P91" s="36">
        <f>VLOOKUP($AF91,raw!$A$1:$BZ$193,P$2,FALSE)/K91</f>
        <v>0.42651669208608711</v>
      </c>
      <c r="Q91" s="77">
        <f>IF(P91&gt;0,(VLOOKUP($AF91,raw!$A$1:$BZ$193,Q$2,FALSE)/(L91*P91)-0),1)</f>
        <v>1.0743606201356679</v>
      </c>
      <c r="R91" s="50">
        <f>VLOOKUP($AF91,raw!$A$1:$BZ$193,R$2,FALSE)</f>
        <v>7180</v>
      </c>
      <c r="S91" s="40" t="str">
        <f t="shared" si="2"/>
        <v>l</v>
      </c>
      <c r="T91" s="29"/>
      <c r="U91" s="29"/>
      <c r="V91" s="110"/>
      <c r="W91" s="105"/>
      <c r="X91" s="105"/>
      <c r="Y91" s="29" t="str">
        <f>IF(ISERROR(VLOOKUP($A91,deadlines!$B$2:$H$52,Y$1,FALSE)),"dk",IF(ISERROR(VLOOKUP($A91,deadlines!$B$2:$H$52,Y$1,FALSE)+1),"","Y"))</f>
        <v>dk</v>
      </c>
      <c r="Z91" s="29" t="str">
        <f>IF(ISERROR(VLOOKUP($A91,deadlines!$B$2:$H$52,Z$1,FALSE)),"dk",IF(ISERROR(VLOOKUP($A91,deadlines!$B$2:$H$52,Z$1,FALSE)+1),"","Y"))</f>
        <v>dk</v>
      </c>
      <c r="AA91" s="29" t="str">
        <f>IF(ISERROR(VLOOKUP($A91,deadlines!$B$2:$H$52,AA$1,FALSE)),"dk",IF(ISERROR(VLOOKUP($A91,deadlines!$B$2:$H$52,AA$1,FALSE)+1),"","Y"))</f>
        <v>dk</v>
      </c>
      <c r="AB91" s="36" t="str">
        <f>IF(ISERROR(VLOOKUP($A91,deadlines!$B$2:$H$52,AB$1,FALSE)),"",VLOOKUP($A91,deadlines!$B$2:$H$52,AB$1,FALSE))</f>
        <v/>
      </c>
      <c r="AC91" s="28"/>
      <c r="AD91" s="30"/>
      <c r="AE91" s="29"/>
      <c r="AF91" s="105">
        <v>233921</v>
      </c>
      <c r="AG91" s="29">
        <v>96</v>
      </c>
    </row>
    <row r="92" spans="1:33" x14ac:dyDescent="0.35">
      <c r="A92" s="29" t="str">
        <f>VLOOKUP($AF92,raw!$A$1:$CA$193,61,FALSE)</f>
        <v>Worcester Polytechnic Institute</v>
      </c>
      <c r="B92" s="136"/>
      <c r="C92" s="136"/>
      <c r="D92" s="137"/>
      <c r="E92" s="137"/>
      <c r="F92" s="29" t="str">
        <f>VLOOKUP($AF92,raw!$A$1:$CA$193,F$2,FALSE)</f>
        <v>Worcester</v>
      </c>
      <c r="G92" s="30" t="str">
        <f>VLOOKUP($AF92,raw!$A$1:$CA$193,G$2,FALSE)</f>
        <v>MA</v>
      </c>
      <c r="H92" s="29" t="str">
        <f>VLOOKUP($AF92,raw!$A$1:$CA$193,H$2,FALSE)</f>
        <v>City: Midsize</v>
      </c>
      <c r="I92" s="57" t="str">
        <f>CONCATENATE(VLOOKUP($AF92,raw!$A$1:$BZ$193,I$2,FALSE)," - ",VLOOKUP($AF92,raw!$A$1:$BZ$193,I$2+2,FALSE))</f>
        <v xml:space="preserve"> - </v>
      </c>
      <c r="J92" s="58" t="str">
        <f>CONCATENATE(VLOOKUP($AF92,raw!$A$1:$BZ$193,J$2,FALSE)," - ",VLOOKUP($AF92,raw!$A$1:$BZ$193,J$2+2,FALSE))</f>
        <v xml:space="preserve"> - </v>
      </c>
      <c r="K92" s="53">
        <f>VLOOKUP($AF92,raw!$A$1:$BZ$193,K$2,FALSE)</f>
        <v>11809</v>
      </c>
      <c r="L92" s="50">
        <f>VLOOKUP($AF92,raw!$A$1:$BZ$193,L$2,FALSE)</f>
        <v>6908</v>
      </c>
      <c r="M92" s="65">
        <f>VLOOKUP($AF92,raw!$A$1:$BZ$193,M$2,FALSE)/100</f>
        <v>0.57999999999999996</v>
      </c>
      <c r="N92" s="62">
        <f>VLOOKUP($AF92,raw!$A$1:$BZ$193,N$2,FALSE)/K92</f>
        <v>0.70657972732661534</v>
      </c>
      <c r="O92" s="77">
        <f>IF(N92&gt;0,(VLOOKUP($AF92,raw!$A$1:$BZ$193,O$2,FALSE)/(L92*N92)-0),1)</f>
        <v>0.92234200790446241</v>
      </c>
      <c r="P92" s="36">
        <f>VLOOKUP($AF92,raw!$A$1:$BZ$193,P$2,FALSE)/K92</f>
        <v>0.29333559149800997</v>
      </c>
      <c r="Q92" s="77">
        <f>IF(P92&gt;0,(VLOOKUP($AF92,raw!$A$1:$BZ$193,Q$2,FALSE)/(L92*P92)-0),1)</f>
        <v>1.1868558945614485</v>
      </c>
      <c r="R92" s="50">
        <f>VLOOKUP($AF92,raw!$A$1:$BZ$193,R$2,FALSE)</f>
        <v>1357</v>
      </c>
      <c r="S92" s="40" t="str">
        <f t="shared" si="2"/>
        <v>m</v>
      </c>
      <c r="T92" s="29"/>
      <c r="U92" s="29"/>
      <c r="V92" s="110"/>
      <c r="W92" s="105"/>
      <c r="X92" s="105"/>
      <c r="Y92" s="29" t="str">
        <f>IF(ISERROR(VLOOKUP($A92,deadlines!$B$2:$H$52,Y$1,FALSE)),"dk",IF(ISERROR(VLOOKUP($A92,deadlines!$B$2:$H$52,Y$1,FALSE)+1),"","Y"))</f>
        <v>dk</v>
      </c>
      <c r="Z92" s="29" t="str">
        <f>IF(ISERROR(VLOOKUP($A92,deadlines!$B$2:$H$52,Z$1,FALSE)),"dk",IF(ISERROR(VLOOKUP($A92,deadlines!$B$2:$H$52,Z$1,FALSE)+1),"","Y"))</f>
        <v>dk</v>
      </c>
      <c r="AA92" s="29" t="str">
        <f>IF(ISERROR(VLOOKUP($A92,deadlines!$B$2:$H$52,AA$1,FALSE)),"dk",IF(ISERROR(VLOOKUP($A92,deadlines!$B$2:$H$52,AA$1,FALSE)+1),"","Y"))</f>
        <v>dk</v>
      </c>
      <c r="AB92" s="36" t="str">
        <f>IF(ISERROR(VLOOKUP($A92,deadlines!$B$2:$H$52,AB$1,FALSE)),"",VLOOKUP($A92,deadlines!$B$2:$H$52,AB$1,FALSE))</f>
        <v/>
      </c>
      <c r="AC92" s="28"/>
      <c r="AD92" s="30"/>
      <c r="AE92" s="29"/>
      <c r="AF92" s="105">
        <v>168421</v>
      </c>
      <c r="AG92" s="29">
        <v>91</v>
      </c>
    </row>
    <row r="93" spans="1:33" x14ac:dyDescent="0.35">
      <c r="A93" s="29" t="str">
        <f>VLOOKUP($AF93,raw!$A$1:$CA$193,61,FALSE)</f>
        <v>University of Vermont</v>
      </c>
      <c r="B93" s="136"/>
      <c r="C93" s="136"/>
      <c r="D93" s="137"/>
      <c r="E93" s="137"/>
      <c r="F93" s="29" t="str">
        <f>VLOOKUP($AF93,raw!$A$1:$CA$193,F$2,FALSE)</f>
        <v>Burlington</v>
      </c>
      <c r="G93" s="30" t="str">
        <f>VLOOKUP($AF93,raw!$A$1:$CA$193,G$2,FALSE)</f>
        <v>VT</v>
      </c>
      <c r="H93" s="29" t="str">
        <f>VLOOKUP($AF93,raw!$A$1:$CA$193,H$2,FALSE)</f>
        <v>City: Small</v>
      </c>
      <c r="I93" s="57" t="str">
        <f>CONCATENATE(VLOOKUP($AF93,raw!$A$1:$BZ$193,I$2,FALSE)," - ",VLOOKUP($AF93,raw!$A$1:$BZ$193,I$2+2,FALSE))</f>
        <v>640 - 720</v>
      </c>
      <c r="J93" s="58" t="str">
        <f>CONCATENATE(VLOOKUP($AF93,raw!$A$1:$BZ$193,J$2,FALSE)," - ",VLOOKUP($AF93,raw!$A$1:$BZ$193,J$2+2,FALSE))</f>
        <v>610 - 700</v>
      </c>
      <c r="K93" s="53">
        <f>VLOOKUP($AF93,raw!$A$1:$BZ$193,K$2,FALSE)</f>
        <v>28236</v>
      </c>
      <c r="L93" s="50">
        <f>VLOOKUP($AF93,raw!$A$1:$BZ$193,L$2,FALSE)</f>
        <v>16947</v>
      </c>
      <c r="M93" s="65">
        <f>VLOOKUP($AF93,raw!$A$1:$BZ$193,M$2,FALSE)/100</f>
        <v>0.6</v>
      </c>
      <c r="N93" s="62">
        <f>VLOOKUP($AF93,raw!$A$1:$BZ$193,N$2,FALSE)/K93</f>
        <v>0.33935401614959626</v>
      </c>
      <c r="O93" s="77">
        <f>IF(N93&gt;0,(VLOOKUP($AF93,raw!$A$1:$BZ$193,O$2,FALSE)/(L93*N93)-0),1)</f>
        <v>0.96973891012900026</v>
      </c>
      <c r="P93" s="36">
        <f>VLOOKUP($AF93,raw!$A$1:$BZ$193,P$2,FALSE)/K93</f>
        <v>0.66064598385040374</v>
      </c>
      <c r="Q93" s="77">
        <f>IF(P93&gt;0,(VLOOKUP($AF93,raw!$A$1:$BZ$193,Q$2,FALSE)/(L93*P93)-0),1)</f>
        <v>1.015544213742035</v>
      </c>
      <c r="R93" s="50">
        <f>VLOOKUP($AF93,raw!$A$1:$BZ$193,R$2,FALSE)</f>
        <v>2881</v>
      </c>
      <c r="S93" s="40" t="str">
        <f t="shared" si="2"/>
        <v>l</v>
      </c>
      <c r="T93" s="75"/>
      <c r="U93" s="29"/>
      <c r="V93" s="110"/>
      <c r="W93" s="105"/>
      <c r="X93" s="105"/>
      <c r="Y93" s="29" t="str">
        <f>IF(ISERROR(VLOOKUP($A93,deadlines!$B$2:$H$52,Y$1,FALSE)),"dk",IF(ISERROR(VLOOKUP($A93,deadlines!$B$2:$H$52,Y$1,FALSE)+1),"","Y"))</f>
        <v>Y</v>
      </c>
      <c r="Z93" s="29" t="str">
        <f>IF(ISERROR(VLOOKUP($A93,deadlines!$B$2:$H$52,Z$1,FALSE)),"dk",IF(ISERROR(VLOOKUP($A93,deadlines!$B$2:$H$52,Z$1,FALSE)+1),"","Y"))</f>
        <v/>
      </c>
      <c r="AA93" s="29" t="str">
        <f>IF(ISERROR(VLOOKUP($A93,deadlines!$B$2:$H$52,AA$1,FALSE)),"dk",IF(ISERROR(VLOOKUP($A93,deadlines!$B$2:$H$52,AA$1,FALSE)+1),"","Y"))</f>
        <v>Y</v>
      </c>
      <c r="AB93" s="36" t="str">
        <f>IF(ISERROR(VLOOKUP($A93,deadlines!$B$2:$H$52,AB$1,FALSE)),"",VLOOKUP($A93,deadlines!$B$2:$H$52,AB$1,FALSE))</f>
        <v>n/a</v>
      </c>
      <c r="AC93" s="28"/>
      <c r="AD93" s="30"/>
      <c r="AE93" s="29"/>
      <c r="AF93" s="105">
        <v>231174</v>
      </c>
      <c r="AG93" s="29">
        <v>80</v>
      </c>
    </row>
    <row r="94" spans="1:33" x14ac:dyDescent="0.35">
      <c r="A94" s="29" t="str">
        <f>VLOOKUP($AF94,raw!$A$1:$CA$193,61,FALSE)</f>
        <v>Rensselaer Polytechnic Institute</v>
      </c>
      <c r="B94" s="136"/>
      <c r="C94" s="136"/>
      <c r="D94" s="137"/>
      <c r="E94" s="137"/>
      <c r="F94" s="29" t="str">
        <f>VLOOKUP($AF94,raw!$A$1:$CA$193,F$2,FALSE)</f>
        <v>Troy</v>
      </c>
      <c r="G94" s="30" t="str">
        <f>VLOOKUP($AF94,raw!$A$1:$CA$193,G$2,FALSE)</f>
        <v>NY</v>
      </c>
      <c r="H94" s="29" t="str">
        <f>VLOOKUP($AF94,raw!$A$1:$CA$193,H$2,FALSE)</f>
        <v>City: Small</v>
      </c>
      <c r="I94" s="57" t="str">
        <f>CONCATENATE(VLOOKUP($AF94,raw!$A$1:$BZ$193,I$2,FALSE)," - ",VLOOKUP($AF94,raw!$A$1:$BZ$193,I$2+2,FALSE))</f>
        <v>650 - 730</v>
      </c>
      <c r="J94" s="58" t="str">
        <f>CONCATENATE(VLOOKUP($AF94,raw!$A$1:$BZ$193,J$2,FALSE)," - ",VLOOKUP($AF94,raw!$A$1:$BZ$193,J$2+2,FALSE))</f>
        <v>680 - 770</v>
      </c>
      <c r="K94" s="53">
        <f>VLOOKUP($AF94,raw!$A$1:$BZ$193,K$2,FALSE)</f>
        <v>16283</v>
      </c>
      <c r="L94" s="50">
        <f>VLOOKUP($AF94,raw!$A$1:$BZ$193,L$2,FALSE)</f>
        <v>9517</v>
      </c>
      <c r="M94" s="65">
        <f>VLOOKUP($AF94,raw!$A$1:$BZ$193,M$2,FALSE)/100</f>
        <v>0.57999999999999996</v>
      </c>
      <c r="N94" s="62">
        <f>VLOOKUP($AF94,raw!$A$1:$BZ$193,N$2,FALSE)/K94</f>
        <v>0.66265430203279496</v>
      </c>
      <c r="O94" s="77">
        <f>IF(N94&gt;0,(VLOOKUP($AF94,raw!$A$1:$BZ$193,O$2,FALSE)/(L94*N94)-0),1)</f>
        <v>1.0013508337794239</v>
      </c>
      <c r="P94" s="36">
        <f>VLOOKUP($AF94,raw!$A$1:$BZ$193,P$2,FALSE)/K94</f>
        <v>0.3368543880120371</v>
      </c>
      <c r="Q94" s="77">
        <f>IF(P94&gt;0,(VLOOKUP($AF94,raw!$A$1:$BZ$193,Q$2,FALSE)/(L94*P94)-0),1)</f>
        <v>0.99880118569188991</v>
      </c>
      <c r="R94" s="50">
        <f>VLOOKUP($AF94,raw!$A$1:$BZ$193,R$2,FALSE)</f>
        <v>1552</v>
      </c>
      <c r="S94" s="40" t="str">
        <f t="shared" si="2"/>
        <v>m</v>
      </c>
      <c r="T94" s="29"/>
      <c r="U94" s="29"/>
      <c r="V94" s="110"/>
      <c r="W94" s="105"/>
      <c r="X94" s="105"/>
      <c r="Y94" s="29" t="str">
        <f>IF(ISERROR(VLOOKUP($A94,deadlines!$B$2:$H$52,Y$1,FALSE)),"dk",IF(ISERROR(VLOOKUP($A94,deadlines!$B$2:$H$52,Y$1,FALSE)+1),"","Y"))</f>
        <v>dk</v>
      </c>
      <c r="Z94" s="29" t="str">
        <f>IF(ISERROR(VLOOKUP($A94,deadlines!$B$2:$H$52,Z$1,FALSE)),"dk",IF(ISERROR(VLOOKUP($A94,deadlines!$B$2:$H$52,Z$1,FALSE)+1),"","Y"))</f>
        <v>dk</v>
      </c>
      <c r="AA94" s="29" t="str">
        <f>IF(ISERROR(VLOOKUP($A94,deadlines!$B$2:$H$52,AA$1,FALSE)),"dk",IF(ISERROR(VLOOKUP($A94,deadlines!$B$2:$H$52,AA$1,FALSE)+1),"","Y"))</f>
        <v>dk</v>
      </c>
      <c r="AB94" s="36" t="str">
        <f>IF(ISERROR(VLOOKUP($A94,deadlines!$B$2:$H$52,AB$1,FALSE)),"",VLOOKUP($A94,deadlines!$B$2:$H$52,AB$1,FALSE))</f>
        <v/>
      </c>
      <c r="AC94" s="28"/>
      <c r="AD94" s="30"/>
      <c r="AE94" s="29"/>
      <c r="AF94" s="105">
        <v>194824</v>
      </c>
      <c r="AG94" s="29">
        <v>51</v>
      </c>
    </row>
    <row r="95" spans="1:33" x14ac:dyDescent="0.35">
      <c r="A95" s="29" t="str">
        <f>VLOOKUP($AF95,raw!$A$1:$CA$193,61,FALSE)</f>
        <v>Rochester Institute of Technology</v>
      </c>
      <c r="B95" s="136"/>
      <c r="C95" s="136"/>
      <c r="D95" s="137"/>
      <c r="E95" s="137"/>
      <c r="F95" s="29" t="str">
        <f>VLOOKUP($AF95,raw!$A$1:$CA$193,F$2,FALSE)</f>
        <v>Rochester</v>
      </c>
      <c r="G95" s="30" t="str">
        <f>VLOOKUP($AF95,raw!$A$1:$CA$193,G$2,FALSE)</f>
        <v>NY</v>
      </c>
      <c r="H95" s="29" t="str">
        <f>VLOOKUP($AF95,raw!$A$1:$CA$193,H$2,FALSE)</f>
        <v>Suburb: Large</v>
      </c>
      <c r="I95" s="57" t="str">
        <f>CONCATENATE(VLOOKUP($AF95,raw!$A$1:$BZ$193,I$2,FALSE)," - ",VLOOKUP($AF95,raw!$A$1:$BZ$193,I$2+2,FALSE))</f>
        <v>640 - 720</v>
      </c>
      <c r="J95" s="58" t="str">
        <f>CONCATENATE(VLOOKUP($AF95,raw!$A$1:$BZ$193,J$2,FALSE)," - ",VLOOKUP($AF95,raw!$A$1:$BZ$193,J$2+2,FALSE))</f>
        <v>640 - 740</v>
      </c>
      <c r="K95" s="53">
        <f>VLOOKUP($AF95,raw!$A$1:$BZ$193,K$2,FALSE)</f>
        <v>24269</v>
      </c>
      <c r="L95" s="50">
        <f>VLOOKUP($AF95,raw!$A$1:$BZ$193,L$2,FALSE)</f>
        <v>17328</v>
      </c>
      <c r="M95" s="65">
        <f>VLOOKUP($AF95,raw!$A$1:$BZ$193,M$2,FALSE)/100</f>
        <v>0.71</v>
      </c>
      <c r="N95" s="62">
        <f>VLOOKUP($AF95,raw!$A$1:$BZ$193,N$2,FALSE)/K95</f>
        <v>0.59227821500679878</v>
      </c>
      <c r="O95" s="77">
        <f>IF(N95&gt;0,(VLOOKUP($AF95,raw!$A$1:$BZ$193,O$2,FALSE)/(L95*N95)-0),1)</f>
        <v>0.98752831061289614</v>
      </c>
      <c r="P95" s="36">
        <f>VLOOKUP($AF95,raw!$A$1:$BZ$193,P$2,FALSE)/K95</f>
        <v>0.40768058016399522</v>
      </c>
      <c r="Q95" s="77">
        <f>IF(P95&gt;0,(VLOOKUP($AF95,raw!$A$1:$BZ$193,Q$2,FALSE)/(L95*P95)-0),1)</f>
        <v>1.0182199376642642</v>
      </c>
      <c r="R95" s="50">
        <f>VLOOKUP($AF95,raw!$A$1:$BZ$193,R$2,FALSE)</f>
        <v>3053</v>
      </c>
      <c r="S95" s="40" t="str">
        <f t="shared" si="2"/>
        <v>l</v>
      </c>
      <c r="T95" s="29"/>
      <c r="U95" s="29"/>
      <c r="V95" s="110"/>
      <c r="W95" s="105"/>
      <c r="X95" s="105"/>
      <c r="Y95" s="29" t="str">
        <f>IF(ISERROR(VLOOKUP($A95,deadlines!$B$2:$H$52,Y$1,FALSE)),"dk",IF(ISERROR(VLOOKUP($A95,deadlines!$B$2:$H$52,Y$1,FALSE)+1),"","Y"))</f>
        <v>dk</v>
      </c>
      <c r="Z95" s="29" t="str">
        <f>IF(ISERROR(VLOOKUP($A95,deadlines!$B$2:$H$52,Z$1,FALSE)),"dk",IF(ISERROR(VLOOKUP($A95,deadlines!$B$2:$H$52,Z$1,FALSE)+1),"","Y"))</f>
        <v>dk</v>
      </c>
      <c r="AA95" s="29" t="str">
        <f>IF(ISERROR(VLOOKUP($A95,deadlines!$B$2:$H$52,AA$1,FALSE)),"dk",IF(ISERROR(VLOOKUP($A95,deadlines!$B$2:$H$52,AA$1,FALSE)+1),"","Y"))</f>
        <v>dk</v>
      </c>
      <c r="AB95" s="36" t="str">
        <f>IF(ISERROR(VLOOKUP($A95,deadlines!$B$2:$H$52,AB$1,FALSE)),"",VLOOKUP($A95,deadlines!$B$2:$H$52,AB$1,FALSE))</f>
        <v/>
      </c>
      <c r="AC95" s="28"/>
      <c r="AD95" s="30"/>
      <c r="AE95" s="29"/>
      <c r="AF95" s="105">
        <v>195003</v>
      </c>
      <c r="AG95" s="29">
        <v>53</v>
      </c>
    </row>
    <row r="96" spans="1:33" x14ac:dyDescent="0.35">
      <c r="A96" s="29" t="str">
        <f>VLOOKUP($AF96,raw!$A$1:$CA$193,61,FALSE)</f>
        <v>University at Albany</v>
      </c>
      <c r="B96" s="136"/>
      <c r="C96" s="136"/>
      <c r="D96" s="137"/>
      <c r="E96" s="137"/>
      <c r="F96" s="29" t="str">
        <f>VLOOKUP($AF96,raw!$A$1:$CA$193,F$2,FALSE)</f>
        <v>Albany</v>
      </c>
      <c r="G96" s="30" t="str">
        <f>VLOOKUP($AF96,raw!$A$1:$CA$193,G$2,FALSE)</f>
        <v>NY</v>
      </c>
      <c r="H96" s="29" t="str">
        <f>VLOOKUP($AF96,raw!$A$1:$CA$193,H$2,FALSE)</f>
        <v>City: Midsize</v>
      </c>
      <c r="I96" s="57" t="str">
        <f>CONCATENATE(VLOOKUP($AF96,raw!$A$1:$BZ$193,I$2,FALSE)," - ",VLOOKUP($AF96,raw!$A$1:$BZ$193,I$2+2,FALSE))</f>
        <v xml:space="preserve"> - </v>
      </c>
      <c r="J96" s="58" t="str">
        <f>CONCATENATE(VLOOKUP($AF96,raw!$A$1:$BZ$193,J$2,FALSE)," - ",VLOOKUP($AF96,raw!$A$1:$BZ$193,J$2+2,FALSE))</f>
        <v xml:space="preserve"> - </v>
      </c>
      <c r="K96" s="53">
        <f>VLOOKUP($AF96,raw!$A$1:$BZ$193,K$2,FALSE)</f>
        <v>30740</v>
      </c>
      <c r="L96" s="50">
        <f>VLOOKUP($AF96,raw!$A$1:$BZ$193,L$2,FALSE)</f>
        <v>21477</v>
      </c>
      <c r="M96" s="65">
        <f>VLOOKUP($AF96,raw!$A$1:$BZ$193,M$2,FALSE)/100</f>
        <v>0.7</v>
      </c>
      <c r="N96" s="62">
        <f>VLOOKUP($AF96,raw!$A$1:$BZ$193,N$2,FALSE)/K96</f>
        <v>0.43965517241379309</v>
      </c>
      <c r="O96" s="77">
        <f>IF(N96&gt;0,(VLOOKUP($AF96,raw!$A$1:$BZ$193,O$2,FALSE)/(L96*N96)-0),1)</f>
        <v>0.96595445926193735</v>
      </c>
      <c r="P96" s="36">
        <f>VLOOKUP($AF96,raw!$A$1:$BZ$193,P$2,FALSE)/K96</f>
        <v>0.55982433311646063</v>
      </c>
      <c r="Q96" s="77">
        <f>IF(P96&gt;0,(VLOOKUP($AF96,raw!$A$1:$BZ$193,Q$2,FALSE)/(L96*P96)-0),1)</f>
        <v>1.0275008940599637</v>
      </c>
      <c r="R96" s="50">
        <f>VLOOKUP($AF96,raw!$A$1:$BZ$193,R$2,FALSE)</f>
        <v>2832</v>
      </c>
      <c r="S96" s="40" t="str">
        <f t="shared" si="2"/>
        <v>l</v>
      </c>
      <c r="T96" s="29"/>
      <c r="U96" s="29"/>
      <c r="V96" s="110"/>
      <c r="W96" s="105"/>
      <c r="X96" s="105"/>
      <c r="Y96" s="29" t="str">
        <f>IF(ISERROR(VLOOKUP($A96,deadlines!$B$2:$H$52,Y$1,FALSE)),"dk",IF(ISERROR(VLOOKUP($A96,deadlines!$B$2:$H$52,Y$1,FALSE)+1),"","Y"))</f>
        <v>dk</v>
      </c>
      <c r="Z96" s="29" t="str">
        <f>IF(ISERROR(VLOOKUP($A96,deadlines!$B$2:$H$52,Z$1,FALSE)),"dk",IF(ISERROR(VLOOKUP($A96,deadlines!$B$2:$H$52,Z$1,FALSE)+1),"","Y"))</f>
        <v>dk</v>
      </c>
      <c r="AA96" s="29" t="str">
        <f>IF(ISERROR(VLOOKUP($A96,deadlines!$B$2:$H$52,AA$1,FALSE)),"dk",IF(ISERROR(VLOOKUP($A96,deadlines!$B$2:$H$52,AA$1,FALSE)+1),"","Y"))</f>
        <v>dk</v>
      </c>
      <c r="AB96" s="36" t="str">
        <f>IF(ISERROR(VLOOKUP($A96,deadlines!$B$2:$H$52,AB$1,FALSE)),"",VLOOKUP($A96,deadlines!$B$2:$H$52,AB$1,FALSE))</f>
        <v/>
      </c>
      <c r="AC96" s="28"/>
      <c r="AD96" s="30"/>
      <c r="AE96" s="29"/>
      <c r="AF96" s="105">
        <v>196060</v>
      </c>
      <c r="AG96" s="29">
        <v>102</v>
      </c>
    </row>
    <row r="97" spans="1:33" x14ac:dyDescent="0.35">
      <c r="A97" s="29" t="str">
        <f>VLOOKUP($AF97,raw!$A$1:$CA$193,61,FALSE)</f>
        <v>University of Minnesota-Twin Cities</v>
      </c>
      <c r="B97" s="136"/>
      <c r="C97" s="136"/>
      <c r="D97" s="137"/>
      <c r="E97" s="137"/>
      <c r="F97" s="74" t="str">
        <f>VLOOKUP($AF97,raw!$A$1:$CA$193,F$2,FALSE)</f>
        <v>Minneapolis</v>
      </c>
      <c r="G97" s="124" t="str">
        <f>VLOOKUP($AF97,raw!$A$1:$CA$193,G$2,FALSE)</f>
        <v>MN</v>
      </c>
      <c r="H97" s="74" t="str">
        <f>VLOOKUP($AF97,raw!$A$1:$CA$193,H$2,FALSE)</f>
        <v>City: Large</v>
      </c>
      <c r="I97" s="125" t="str">
        <f>CONCATENATE(VLOOKUP($AF97,raw!$A$1:$BZ$193,I$2,FALSE)," - ",VLOOKUP($AF97,raw!$A$1:$BZ$193,I$2+2,FALSE))</f>
        <v>640 - 720</v>
      </c>
      <c r="J97" s="126" t="str">
        <f>CONCATENATE(VLOOKUP($AF97,raw!$A$1:$BZ$193,J$2,FALSE)," - ",VLOOKUP($AF97,raw!$A$1:$BZ$193,J$2+2,FALSE))</f>
        <v>670 - 760</v>
      </c>
      <c r="K97" s="127">
        <f>VLOOKUP($AF97,raw!$A$1:$BZ$193,K$2,FALSE)</f>
        <v>39863</v>
      </c>
      <c r="L97" s="128">
        <f>VLOOKUP($AF97,raw!$A$1:$BZ$193,L$2,FALSE)</f>
        <v>30705</v>
      </c>
      <c r="M97" s="129">
        <f>VLOOKUP($AF97,raw!$A$1:$BZ$193,M$2,FALSE)/100</f>
        <v>0.77</v>
      </c>
      <c r="N97" s="130">
        <f>VLOOKUP($AF97,raw!$A$1:$BZ$193,N$2,FALSE)/K97</f>
        <v>0.47414896018864611</v>
      </c>
      <c r="O97" s="79">
        <f>IF(N97&gt;0,(VLOOKUP($AF97,raw!$A$1:$BZ$193,O$2,FALSE)/(L97*N97)-0),1)</f>
        <v>0.99095087981506091</v>
      </c>
      <c r="P97" s="80">
        <f>VLOOKUP($AF97,raw!$A$1:$BZ$193,P$2,FALSE)/K97</f>
        <v>0.52334244788400275</v>
      </c>
      <c r="Q97" s="79">
        <f>IF(P97&gt;0,(VLOOKUP($AF97,raw!$A$1:$BZ$193,Q$2,FALSE)/(L97*P97)-0),1)</f>
        <v>1.0092580751533666</v>
      </c>
      <c r="R97" s="128">
        <f>VLOOKUP($AF97,raw!$A$1:$BZ$193,R$2,FALSE)</f>
        <v>6697</v>
      </c>
      <c r="S97" s="131" t="str">
        <f t="shared" si="2"/>
        <v>l</v>
      </c>
      <c r="T97" s="74"/>
      <c r="U97" s="74"/>
      <c r="V97" s="132"/>
      <c r="W97" s="106"/>
      <c r="X97" s="106"/>
      <c r="Y97" s="74" t="str">
        <f>IF(ISERROR(VLOOKUP($A97,deadlines!$B$2:$H$52,Y$1,FALSE)),"dk",IF(ISERROR(VLOOKUP($A97,deadlines!$B$2:$H$52,Y$1,FALSE)+1),"","Y"))</f>
        <v>dk</v>
      </c>
      <c r="Z97" s="74" t="str">
        <f>IF(ISERROR(VLOOKUP($A97,deadlines!$B$2:$H$52,Z$1,FALSE)),"dk",IF(ISERROR(VLOOKUP($A97,deadlines!$B$2:$H$52,Z$1,FALSE)+1),"","Y"))</f>
        <v>dk</v>
      </c>
      <c r="AA97" s="74" t="str">
        <f>IF(ISERROR(VLOOKUP($A97,deadlines!$B$2:$H$52,AA$1,FALSE)),"dk",IF(ISERROR(VLOOKUP($A97,deadlines!$B$2:$H$52,AA$1,FALSE)+1),"","Y"))</f>
        <v>dk</v>
      </c>
      <c r="AB97" s="80" t="str">
        <f>IF(ISERROR(VLOOKUP($A97,deadlines!$B$2:$H$52,AB$1,FALSE)),"",VLOOKUP($A97,deadlines!$B$2:$H$52,AB$1,FALSE))</f>
        <v/>
      </c>
      <c r="AC97" s="123"/>
      <c r="AD97" s="124"/>
      <c r="AE97" s="29"/>
      <c r="AF97" s="105">
        <v>174066</v>
      </c>
      <c r="AG97" s="29">
        <v>98</v>
      </c>
    </row>
    <row r="98" spans="1:33" x14ac:dyDescent="0.35">
      <c r="A98" s="74" t="str">
        <f>VLOOKUP($AF98,raw!$A$1:$CA$193,61,FALSE)</f>
        <v>Indiana University-Bloomington</v>
      </c>
      <c r="B98" s="136"/>
      <c r="C98" s="136"/>
      <c r="D98" s="137"/>
      <c r="E98" s="137"/>
      <c r="F98" s="136" t="str">
        <f>VLOOKUP($AF98,raw!$A$1:$CA$193,F$2,FALSE)</f>
        <v>Bloomington</v>
      </c>
      <c r="G98" s="138" t="str">
        <f>VLOOKUP($AF98,raw!$A$1:$CA$193,G$2,FALSE)</f>
        <v>IN</v>
      </c>
      <c r="H98" s="73" t="str">
        <f>VLOOKUP($AF98,raw!$A$1:$CA$193,H$2,FALSE)</f>
        <v>City: Small</v>
      </c>
      <c r="I98" s="59" t="str">
        <f>CONCATENATE(VLOOKUP($AF98,raw!$A$1:$BZ$193,I$2,FALSE)," - ",VLOOKUP($AF98,raw!$A$1:$BZ$193,I$2+2,FALSE))</f>
        <v>590 - 690</v>
      </c>
      <c r="J98" s="60" t="str">
        <f>CONCATENATE(VLOOKUP($AF98,raw!$A$1:$BZ$193,J$2,FALSE)," - ",VLOOKUP($AF98,raw!$A$1:$BZ$193,J$2+2,FALSE))</f>
        <v>580 - 710</v>
      </c>
      <c r="K98" s="54">
        <f>VLOOKUP($AF98,raw!$A$1:$BZ$193,K$2,FALSE)</f>
        <v>54279</v>
      </c>
      <c r="L98" s="51">
        <f>VLOOKUP($AF98,raw!$A$1:$BZ$193,L$2,FALSE)</f>
        <v>43624</v>
      </c>
      <c r="M98" s="66">
        <f>VLOOKUP($AF98,raw!$A$1:$BZ$193,M$2,FALSE)/100</f>
        <v>0.8</v>
      </c>
      <c r="N98" s="63">
        <f>VLOOKUP($AF98,raw!$A$1:$BZ$193,N$2,FALSE)/K98</f>
        <v>0.48237808360507745</v>
      </c>
      <c r="O98" s="78">
        <f>IF(N98&gt;0,(VLOOKUP($AF98,raw!$A$1:$BZ$193,O$2,FALSE)/(L98*N98)-0),1)</f>
        <v>0.9889151442149211</v>
      </c>
      <c r="P98" s="47">
        <f>VLOOKUP($AF98,raw!$A$1:$BZ$193,P$2,FALSE)/K98</f>
        <v>0.51749295307577514</v>
      </c>
      <c r="Q98" s="78">
        <f>IF(P98&gt;0,(VLOOKUP($AF98,raw!$A$1:$BZ$193,Q$2,FALSE)/(L98*P98)-0),1)</f>
        <v>1.0104047062506651</v>
      </c>
      <c r="R98" s="51">
        <f>VLOOKUP($AF98,raw!$A$1:$BZ$193,R$2,FALSE)</f>
        <v>9520</v>
      </c>
      <c r="S98" s="48" t="str">
        <f t="shared" si="2"/>
        <v>l</v>
      </c>
      <c r="T98" s="73"/>
      <c r="U98" s="44"/>
      <c r="V98" s="111" t="s">
        <v>427</v>
      </c>
      <c r="W98" s="104">
        <v>1</v>
      </c>
      <c r="X98" s="104">
        <v>1</v>
      </c>
      <c r="Y98" s="91" t="str">
        <f>IF(ISERROR(VLOOKUP($A98,deadlines!$B$2:$H$52,Y$1,FALSE)),"dk",IF(ISERROR(VLOOKUP($A98,deadlines!$B$2:$H$52,Y$1,FALSE)+1),"","Y"))</f>
        <v/>
      </c>
      <c r="Z98" s="91" t="str">
        <f>IF(ISERROR(VLOOKUP($A98,deadlines!$B$2:$H$52,Z$1,FALSE)),"dk",IF(ISERROR(VLOOKUP($A98,deadlines!$B$2:$H$52,Z$1,FALSE)+1),"","Y"))</f>
        <v/>
      </c>
      <c r="AA98" s="91" t="str">
        <f>IF(ISERROR(VLOOKUP($A98,deadlines!$B$2:$H$52,AA$1,FALSE)),"dk",IF(ISERROR(VLOOKUP($A98,deadlines!$B$2:$H$52,AA$1,FALSE)+1),"","Y"))</f>
        <v>Y</v>
      </c>
      <c r="AB98" s="96" t="str">
        <f>IF(ISERROR(VLOOKUP($A98,deadlines!$B$2:$H$52,AB$1,FALSE)),"",VLOOKUP($A98,deadlines!$B$2:$H$52,AB$1,FALSE))</f>
        <v>n/a</v>
      </c>
      <c r="AC98" s="44"/>
      <c r="AD98" s="45"/>
      <c r="AE98" s="29"/>
      <c r="AF98" s="105">
        <v>151351</v>
      </c>
      <c r="AG98" s="29">
        <v>34</v>
      </c>
    </row>
    <row r="99" spans="1:33" x14ac:dyDescent="0.35">
      <c r="A99" s="73" t="str">
        <f>VLOOKUP($AF99,raw!$A$1:$CA$193,61,FALSE)</f>
        <v>University of California-Irvine</v>
      </c>
      <c r="B99" s="136"/>
      <c r="C99" s="136"/>
      <c r="D99" s="137"/>
      <c r="E99" s="137"/>
      <c r="F99" s="73" t="str">
        <f>VLOOKUP($AF99,raw!$A$1:$CA$193,F$2,FALSE)</f>
        <v>Irvine</v>
      </c>
      <c r="G99" s="45" t="str">
        <f>VLOOKUP($AF99,raw!$A$1:$CA$193,G$2,FALSE)</f>
        <v>CA</v>
      </c>
      <c r="H99" s="29" t="str">
        <f>VLOOKUP($AF99,raw!$A$1:$CA$193,H$2,FALSE)</f>
        <v>City: Large</v>
      </c>
      <c r="I99" s="57">
        <v>0</v>
      </c>
      <c r="J99" s="58" t="str">
        <f>CONCATENATE(VLOOKUP($AF99,raw!$A$1:$BZ$193,J$2,FALSE)," - ",VLOOKUP($AF99,raw!$A$1:$BZ$193,J$2+2,FALSE))</f>
        <v xml:space="preserve"> - </v>
      </c>
      <c r="K99" s="53">
        <f>VLOOKUP($AF99,raw!$A$1:$BZ$193,K$2,FALSE)</f>
        <v>121101</v>
      </c>
      <c r="L99" s="50">
        <f>VLOOKUP($AF99,raw!$A$1:$BZ$193,L$2,FALSE)</f>
        <v>30962</v>
      </c>
      <c r="M99" s="65">
        <f>VLOOKUP($AF99,raw!$A$1:$BZ$193,M$2,FALSE)/100</f>
        <v>0.26</v>
      </c>
      <c r="N99" s="62">
        <f>VLOOKUP($AF99,raw!$A$1:$BZ$193,N$2,FALSE)/K99</f>
        <v>0.46879051370343761</v>
      </c>
      <c r="O99" s="77">
        <f>IF(N99&gt;0,(VLOOKUP($AF99,raw!$A$1:$BZ$193,O$2,FALSE)/(L99*N99)-0),1)</f>
        <v>0.89819336869397592</v>
      </c>
      <c r="P99" s="36">
        <f>VLOOKUP($AF99,raw!$A$1:$BZ$193,P$2,FALSE)/K99</f>
        <v>0.53120948629656239</v>
      </c>
      <c r="Q99" s="77">
        <f>IF(P99&gt;0,(VLOOKUP($AF99,raw!$A$1:$BZ$193,Q$2,FALSE)/(L99*P99)-0),1)</f>
        <v>1.0898439960496549</v>
      </c>
      <c r="R99" s="50">
        <f>VLOOKUP($AF99,raw!$A$1:$BZ$193,R$2,FALSE)</f>
        <v>6777</v>
      </c>
      <c r="S99" s="40" t="str">
        <f t="shared" ref="S99:S103" si="3">VLOOKUP(R99,$AK$5:$AL$8,2,TRUE)</f>
        <v>l</v>
      </c>
      <c r="T99" s="29"/>
      <c r="U99" s="29"/>
      <c r="V99" s="110"/>
      <c r="W99" s="105"/>
      <c r="X99" s="105"/>
      <c r="Y99" s="29" t="str">
        <f>IF(ISERROR(VLOOKUP($A99,deadlines!$B$2:$H$52,Y$1,FALSE)),"dk",IF(ISERROR(VLOOKUP($A99,deadlines!$B$2:$H$52,Y$1,FALSE)+1),"","Y"))</f>
        <v>dk</v>
      </c>
      <c r="Z99" s="29" t="str">
        <f>IF(ISERROR(VLOOKUP($A99,deadlines!$B$2:$H$52,Z$1,FALSE)),"dk",IF(ISERROR(VLOOKUP($A99,deadlines!$B$2:$H$52,Z$1,FALSE)+1),"","Y"))</f>
        <v>dk</v>
      </c>
      <c r="AA99" s="29" t="str">
        <f>IF(ISERROR(VLOOKUP($A99,deadlines!$B$2:$H$52,AA$1,FALSE)),"dk",IF(ISERROR(VLOOKUP($A99,deadlines!$B$2:$H$52,AA$1,FALSE)+1),"","Y"))</f>
        <v>dk</v>
      </c>
      <c r="AB99" s="36" t="str">
        <f>IF(ISERROR(VLOOKUP($A99,deadlines!$B$2:$H$52,AB$1,FALSE)),"",VLOOKUP($A99,deadlines!$B$2:$H$52,AB$1,FALSE))</f>
        <v/>
      </c>
      <c r="AC99" s="29"/>
      <c r="AD99" s="30"/>
      <c r="AF99" s="17">
        <v>110653</v>
      </c>
    </row>
    <row r="100" spans="1:33" x14ac:dyDescent="0.35">
      <c r="A100" s="74" t="str">
        <f>VLOOKUP($AF100,raw!$A$1:$CA$193,61,FALSE)</f>
        <v>University of California-San Diego</v>
      </c>
      <c r="B100" s="136"/>
      <c r="C100" s="136"/>
      <c r="D100" s="137"/>
      <c r="E100" s="137"/>
      <c r="F100" s="74" t="str">
        <f>VLOOKUP($AF100,raw!$A$1:$CA$193,F$2,FALSE)</f>
        <v>La Jolla</v>
      </c>
      <c r="G100" s="124" t="str">
        <f>VLOOKUP($AF100,raw!$A$1:$CA$193,G$2,FALSE)</f>
        <v>CA</v>
      </c>
      <c r="H100" s="29" t="str">
        <f>VLOOKUP($AF100,raw!$A$1:$CA$193,H$2,FALSE)</f>
        <v>City: Large</v>
      </c>
      <c r="I100" s="57">
        <v>0</v>
      </c>
      <c r="J100" s="58" t="str">
        <f>CONCATENATE(VLOOKUP($AF100,raw!$A$1:$BZ$193,J$2,FALSE)," - ",VLOOKUP($AF100,raw!$A$1:$BZ$193,J$2+2,FALSE))</f>
        <v xml:space="preserve"> - </v>
      </c>
      <c r="K100" s="53">
        <f>VLOOKUP($AF100,raw!$A$1:$BZ$193,K$2,FALSE)</f>
        <v>130771</v>
      </c>
      <c r="L100" s="50">
        <f>VLOOKUP($AF100,raw!$A$1:$BZ$193,L$2,FALSE)</f>
        <v>32062</v>
      </c>
      <c r="M100" s="65">
        <f>VLOOKUP($AF100,raw!$A$1:$BZ$193,M$2,FALSE)/100</f>
        <v>0.25</v>
      </c>
      <c r="N100" s="62">
        <f>VLOOKUP($AF100,raw!$A$1:$BZ$193,N$2,FALSE)/K100</f>
        <v>0.47056304532350446</v>
      </c>
      <c r="O100" s="77">
        <f>IF(N100&gt;0,(VLOOKUP($AF100,raw!$A$1:$BZ$193,O$2,FALSE)/(L100*N100)-0),1)</f>
        <v>0.8508541347127655</v>
      </c>
      <c r="P100" s="36">
        <f>VLOOKUP($AF100,raw!$A$1:$BZ$193,P$2,FALSE)/K100</f>
        <v>0.52943695467649554</v>
      </c>
      <c r="Q100" s="77">
        <f>IF(P100&gt;0,(VLOOKUP($AF100,raw!$A$1:$BZ$193,Q$2,FALSE)/(L100*P100)-0),1)</f>
        <v>1.1325606985818628</v>
      </c>
      <c r="R100" s="50">
        <f>VLOOKUP($AF100,raw!$A$1:$BZ$193,R$2,FALSE)</f>
        <v>6986</v>
      </c>
      <c r="S100" s="40" t="str">
        <f t="shared" si="3"/>
        <v>l</v>
      </c>
      <c r="T100" s="29"/>
      <c r="U100" s="29"/>
      <c r="V100" s="110"/>
      <c r="W100" s="105"/>
      <c r="X100" s="105"/>
      <c r="Y100" s="29" t="str">
        <f>IF(ISERROR(VLOOKUP($A100,deadlines!$B$2:$H$52,Y$1,FALSE)),"dk",IF(ISERROR(VLOOKUP($A100,deadlines!$B$2:$H$52,Y$1,FALSE)+1),"","Y"))</f>
        <v>dk</v>
      </c>
      <c r="Z100" s="29" t="str">
        <f>IF(ISERROR(VLOOKUP($A100,deadlines!$B$2:$H$52,Z$1,FALSE)),"dk",IF(ISERROR(VLOOKUP($A100,deadlines!$B$2:$H$52,Z$1,FALSE)+1),"","Y"))</f>
        <v>dk</v>
      </c>
      <c r="AA100" s="29" t="str">
        <f>IF(ISERROR(VLOOKUP($A100,deadlines!$B$2:$H$52,AA$1,FALSE)),"dk",IF(ISERROR(VLOOKUP($A100,deadlines!$B$2:$H$52,AA$1,FALSE)+1),"","Y"))</f>
        <v>dk</v>
      </c>
      <c r="AB100" s="36" t="str">
        <f>IF(ISERROR(VLOOKUP($A100,deadlines!$B$2:$H$52,AB$1,FALSE)),"",VLOOKUP($A100,deadlines!$B$2:$H$52,AB$1,FALSE))</f>
        <v/>
      </c>
      <c r="AC100" s="29"/>
      <c r="AD100" s="30"/>
      <c r="AF100" s="17">
        <v>110680</v>
      </c>
    </row>
    <row r="101" spans="1:33" x14ac:dyDescent="0.35">
      <c r="A101" s="73" t="str">
        <f>VLOOKUP($AF101,raw!$A$1:$CA$193,61,FALSE)</f>
        <v>University of California-Santa Barbara</v>
      </c>
      <c r="B101" s="73"/>
      <c r="C101" s="73"/>
      <c r="D101" s="46"/>
      <c r="E101" s="46"/>
      <c r="F101" s="44" t="str">
        <f>VLOOKUP($AF101,raw!$A$1:$CA$193,F$2,FALSE)</f>
        <v>Santa Barbara</v>
      </c>
      <c r="G101" s="45" t="str">
        <f>VLOOKUP($AF101,raw!$A$1:$CA$193,G$2,FALSE)</f>
        <v>CA</v>
      </c>
      <c r="H101" s="29" t="str">
        <f>VLOOKUP($AF101,raw!$A$1:$CA$193,H$2,FALSE)</f>
        <v>Suburb: Midsize</v>
      </c>
      <c r="I101" s="57">
        <v>0</v>
      </c>
      <c r="J101" s="58" t="str">
        <f>CONCATENATE(VLOOKUP($AF101,raw!$A$1:$BZ$193,J$2,FALSE)," - ",VLOOKUP($AF101,raw!$A$1:$BZ$193,J$2+2,FALSE))</f>
        <v xml:space="preserve"> - </v>
      </c>
      <c r="K101" s="53">
        <f>VLOOKUP($AF101,raw!$A$1:$BZ$193,K$2,FALSE)</f>
        <v>110871</v>
      </c>
      <c r="L101" s="50">
        <f>VLOOKUP($AF101,raw!$A$1:$BZ$193,L$2,FALSE)</f>
        <v>30804</v>
      </c>
      <c r="M101" s="65">
        <f>VLOOKUP($AF101,raw!$A$1:$BZ$193,M$2,FALSE)/100</f>
        <v>0.28000000000000003</v>
      </c>
      <c r="N101" s="62">
        <f>VLOOKUP($AF101,raw!$A$1:$BZ$193,N$2,FALSE)/K101</f>
        <v>0.45450117704359122</v>
      </c>
      <c r="O101" s="77">
        <f>IF(N101&gt;0,(VLOOKUP($AF101,raw!$A$1:$BZ$193,O$2,FALSE)/(L101*N101)-0),1)</f>
        <v>0.885828400405131</v>
      </c>
      <c r="P101" s="36">
        <f>VLOOKUP($AF101,raw!$A$1:$BZ$193,P$2,FALSE)/K101</f>
        <v>0.54549882295640884</v>
      </c>
      <c r="Q101" s="77">
        <f>IF(P101&gt;0,(VLOOKUP($AF101,raw!$A$1:$BZ$193,Q$2,FALSE)/(L101*P101)-0),1)</f>
        <v>1.0951260098410223</v>
      </c>
      <c r="R101" s="50">
        <f>VLOOKUP($AF101,raw!$A$1:$BZ$193,R$2,FALSE)</f>
        <v>5014</v>
      </c>
      <c r="S101" s="40" t="str">
        <f t="shared" si="3"/>
        <v>l</v>
      </c>
      <c r="T101" s="29"/>
      <c r="U101" s="29"/>
      <c r="V101" s="110"/>
      <c r="W101" s="105"/>
      <c r="X101" s="105"/>
      <c r="Y101" s="29" t="str">
        <f>IF(ISERROR(VLOOKUP($A101,deadlines!$B$2:$H$52,Y$1,FALSE)),"dk",IF(ISERROR(VLOOKUP($A101,deadlines!$B$2:$H$52,Y$1,FALSE)+1),"","Y"))</f>
        <v>dk</v>
      </c>
      <c r="Z101" s="29" t="str">
        <f>IF(ISERROR(VLOOKUP($A101,deadlines!$B$2:$H$52,Z$1,FALSE)),"dk",IF(ISERROR(VLOOKUP($A101,deadlines!$B$2:$H$52,Z$1,FALSE)+1),"","Y"))</f>
        <v>dk</v>
      </c>
      <c r="AA101" s="29" t="str">
        <f>IF(ISERROR(VLOOKUP($A101,deadlines!$B$2:$H$52,AA$1,FALSE)),"dk",IF(ISERROR(VLOOKUP($A101,deadlines!$B$2:$H$52,AA$1,FALSE)+1),"","Y"))</f>
        <v>dk</v>
      </c>
      <c r="AB101" s="36" t="str">
        <f>IF(ISERROR(VLOOKUP($A101,deadlines!$B$2:$H$52,AB$1,FALSE)),"",VLOOKUP($A101,deadlines!$B$2:$H$52,AB$1,FALSE))</f>
        <v/>
      </c>
      <c r="AC101" s="29"/>
      <c r="AD101" s="30"/>
      <c r="AF101" s="17">
        <v>110705</v>
      </c>
    </row>
    <row r="102" spans="1:33" x14ac:dyDescent="0.35">
      <c r="A102" s="73" t="e">
        <f>VLOOKUP($AF102,raw!$A$1:$CA$193,61,FALSE)</f>
        <v>#N/A</v>
      </c>
      <c r="F102" s="73" t="e">
        <f>VLOOKUP($AF102,raw!$A$1:$CA$193,F$2,FALSE)</f>
        <v>#N/A</v>
      </c>
      <c r="G102" s="73" t="e">
        <f>VLOOKUP($AF102,raw!$A$1:$CA$193,G$2,FALSE)</f>
        <v>#N/A</v>
      </c>
      <c r="H102" s="73" t="e">
        <f>VLOOKUP($AF102,raw!$A$1:$CA$193,H$2,FALSE)</f>
        <v>#N/A</v>
      </c>
      <c r="I102" s="59" t="e">
        <f>CONCATENATE(VLOOKUP($AF102,raw!$A$1:$BZ$193,I$2,FALSE)," - ",VLOOKUP($AF102,raw!$A$1:$BZ$193,I$2+2,FALSE))</f>
        <v>#N/A</v>
      </c>
      <c r="J102" s="60" t="e">
        <f>CONCATENATE(VLOOKUP($AF102,raw!$A$1:$BZ$193,J$2,FALSE)," - ",VLOOKUP($AF102,raw!$A$1:$BZ$193,J$2+2,FALSE))</f>
        <v>#N/A</v>
      </c>
      <c r="K102" s="54" t="e">
        <f>VLOOKUP($AF102,raw!$A$1:$BZ$193,K$2,FALSE)</f>
        <v>#N/A</v>
      </c>
      <c r="L102" s="51" t="e">
        <f>VLOOKUP($AF102,raw!$A$1:$BZ$193,L$2,FALSE)</f>
        <v>#N/A</v>
      </c>
      <c r="M102" s="66" t="e">
        <f>VLOOKUP($AF102,raw!$A$1:$BZ$193,M$2,FALSE)/100</f>
        <v>#N/A</v>
      </c>
      <c r="N102" s="63" t="e">
        <f>VLOOKUP($AF102,raw!$A$1:$BZ$193,N$2,FALSE)/K102</f>
        <v>#N/A</v>
      </c>
      <c r="O102" s="78" t="e">
        <f>IF(N102&gt;0,(VLOOKUP($AF102,raw!$A$1:$BZ$193,O$2,FALSE)/(L102*N102)-0),1)</f>
        <v>#N/A</v>
      </c>
      <c r="P102" s="47" t="e">
        <f>VLOOKUP($AF102,raw!$A$1:$BZ$193,P$2,FALSE)/K102</f>
        <v>#N/A</v>
      </c>
      <c r="Q102" s="78" t="e">
        <f>IF(P102&gt;0,(VLOOKUP($AF102,raw!$A$1:$BZ$193,Q$2,FALSE)/(L102*P102)-0),1)</f>
        <v>#N/A</v>
      </c>
      <c r="R102" s="51" t="e">
        <f>VLOOKUP($AF102,raw!$A$1:$BZ$193,R$2,FALSE)</f>
        <v>#N/A</v>
      </c>
      <c r="S102" s="48" t="e">
        <f t="shared" si="3"/>
        <v>#N/A</v>
      </c>
      <c r="T102" s="112"/>
      <c r="U102" s="105"/>
      <c r="V102" s="110"/>
      <c r="W102" s="105"/>
      <c r="X102" s="105"/>
      <c r="Y102" s="29" t="str">
        <f>IF(ISERROR(VLOOKUP($A102,deadlines!$B$2:$H$52,Y$1,FALSE)),"dk",IF(ISERROR(VLOOKUP($A102,deadlines!$B$2:$H$52,Y$1,FALSE)+1),"","Y"))</f>
        <v>dk</v>
      </c>
      <c r="Z102" s="29" t="str">
        <f>IF(ISERROR(VLOOKUP($A102,deadlines!$B$2:$H$52,Z$1,FALSE)),"dk",IF(ISERROR(VLOOKUP($A102,deadlines!$B$2:$H$52,Z$1,FALSE)+1),"","Y"))</f>
        <v>dk</v>
      </c>
      <c r="AA102" s="29" t="str">
        <f>IF(ISERROR(VLOOKUP($A102,deadlines!$B$2:$H$52,AA$1,FALSE)),"dk",IF(ISERROR(VLOOKUP($A102,deadlines!$B$2:$H$52,AA$1,FALSE)+1),"","Y"))</f>
        <v>dk</v>
      </c>
      <c r="AF102" s="17"/>
    </row>
    <row r="103" spans="1:33" x14ac:dyDescent="0.35">
      <c r="A103" s="73" t="e">
        <f>VLOOKUP($AF103,raw!$A$1:$CA$193,61,FALSE)</f>
        <v>#N/A</v>
      </c>
      <c r="F103" s="73" t="e">
        <f>VLOOKUP($AF103,raw!$A$1:$CA$193,F$2,FALSE)</f>
        <v>#N/A</v>
      </c>
      <c r="G103" s="73" t="e">
        <f>VLOOKUP($AF103,raw!$A$1:$CA$193,G$2,FALSE)</f>
        <v>#N/A</v>
      </c>
      <c r="H103" s="73" t="e">
        <f>VLOOKUP($AF103,raw!$A$1:$CA$193,H$2,FALSE)</f>
        <v>#N/A</v>
      </c>
      <c r="I103" s="59" t="e">
        <f>CONCATENATE(VLOOKUP($AF103,raw!$A$1:$BZ$193,I$2,FALSE)," - ",VLOOKUP($AF103,raw!$A$1:$BZ$193,I$2+2,FALSE))</f>
        <v>#N/A</v>
      </c>
      <c r="J103" s="60" t="e">
        <f>CONCATENATE(VLOOKUP($AF103,raw!$A$1:$BZ$193,J$2,FALSE)," - ",VLOOKUP($AF103,raw!$A$1:$BZ$193,J$2+2,FALSE))</f>
        <v>#N/A</v>
      </c>
      <c r="K103" s="54" t="e">
        <f>VLOOKUP($AF103,raw!$A$1:$BZ$193,K$2,FALSE)</f>
        <v>#N/A</v>
      </c>
      <c r="L103" s="51" t="e">
        <f>VLOOKUP($AF103,raw!$A$1:$BZ$193,L$2,FALSE)</f>
        <v>#N/A</v>
      </c>
      <c r="M103" s="66" t="e">
        <f>VLOOKUP($AF103,raw!$A$1:$BZ$193,M$2,FALSE)/100</f>
        <v>#N/A</v>
      </c>
      <c r="N103" s="63" t="e">
        <f>VLOOKUP($AF103,raw!$A$1:$BZ$193,N$2,FALSE)/K103</f>
        <v>#N/A</v>
      </c>
      <c r="O103" s="78" t="e">
        <f>IF(N103&gt;0,(VLOOKUP($AF103,raw!$A$1:$BZ$193,O$2,FALSE)/(L103*N103)-0),1)</f>
        <v>#N/A</v>
      </c>
      <c r="P103" s="47" t="e">
        <f>VLOOKUP($AF103,raw!$A$1:$BZ$193,P$2,FALSE)/K103</f>
        <v>#N/A</v>
      </c>
      <c r="Q103" s="78" t="e">
        <f>IF(P103&gt;0,(VLOOKUP($AF103,raw!$A$1:$BZ$193,Q$2,FALSE)/(L103*P103)-0),1)</f>
        <v>#N/A</v>
      </c>
      <c r="R103" s="51" t="e">
        <f>VLOOKUP($AF103,raw!$A$1:$BZ$193,R$2,FALSE)</f>
        <v>#N/A</v>
      </c>
      <c r="S103" s="48" t="e">
        <f t="shared" si="3"/>
        <v>#N/A</v>
      </c>
      <c r="T103" s="112"/>
      <c r="U103" s="105"/>
      <c r="V103" s="110"/>
      <c r="W103" s="105"/>
      <c r="X103" s="105"/>
      <c r="Y103" s="29" t="str">
        <f>IF(ISERROR(VLOOKUP($A103,deadlines!$B$2:$H$52,Y$1,FALSE)),"dk",IF(ISERROR(VLOOKUP($A103,deadlines!$B$2:$H$52,Y$1,FALSE)+1),"","Y"))</f>
        <v>dk</v>
      </c>
      <c r="Z103" s="29" t="str">
        <f>IF(ISERROR(VLOOKUP($A103,deadlines!$B$2:$H$52,Z$1,FALSE)),"dk",IF(ISERROR(VLOOKUP($A103,deadlines!$B$2:$H$52,Z$1,FALSE)+1),"","Y"))</f>
        <v>dk</v>
      </c>
      <c r="AA103" s="29" t="str">
        <f>IF(ISERROR(VLOOKUP($A103,deadlines!$B$2:$H$52,AA$1,FALSE)),"dk",IF(ISERROR(VLOOKUP($A103,deadlines!$B$2:$H$52,AA$1,FALSE)+1),"","Y"))</f>
        <v>dk</v>
      </c>
      <c r="AF103" s="17"/>
    </row>
    <row r="111" spans="1:33" x14ac:dyDescent="0.35">
      <c r="C111"/>
    </row>
    <row r="112" spans="1:33" x14ac:dyDescent="0.35">
      <c r="C112"/>
    </row>
    <row r="113" spans="3:18" x14ac:dyDescent="0.35">
      <c r="C113"/>
    </row>
    <row r="114" spans="3:18" x14ac:dyDescent="0.35">
      <c r="C114"/>
    </row>
    <row r="115" spans="3:18" x14ac:dyDescent="0.35">
      <c r="C115"/>
    </row>
    <row r="116" spans="3:18" x14ac:dyDescent="0.35">
      <c r="C116"/>
    </row>
    <row r="117" spans="3:18" x14ac:dyDescent="0.35">
      <c r="C117"/>
      <c r="Q117" s="1"/>
      <c r="R117" s="1"/>
    </row>
    <row r="118" spans="3:18" x14ac:dyDescent="0.35">
      <c r="C118"/>
    </row>
    <row r="119" spans="3:18" x14ac:dyDescent="0.35">
      <c r="C119"/>
    </row>
    <row r="120" spans="3:18" x14ac:dyDescent="0.35">
      <c r="C120"/>
    </row>
    <row r="121" spans="3:18" x14ac:dyDescent="0.35">
      <c r="C121"/>
    </row>
    <row r="122" spans="3:18" x14ac:dyDescent="0.35">
      <c r="C122"/>
    </row>
    <row r="123" spans="3:18" x14ac:dyDescent="0.35">
      <c r="C123"/>
    </row>
    <row r="124" spans="3:18" x14ac:dyDescent="0.35">
      <c r="C124"/>
    </row>
    <row r="125" spans="3:18" x14ac:dyDescent="0.35">
      <c r="C125"/>
    </row>
    <row r="127" spans="3:18" x14ac:dyDescent="0.35">
      <c r="E127" s="100"/>
      <c r="F127" s="100"/>
      <c r="G127" s="100"/>
    </row>
    <row r="128" spans="3:18" x14ac:dyDescent="0.35">
      <c r="E128" s="100"/>
      <c r="F128" s="100"/>
      <c r="G128" s="100"/>
    </row>
    <row r="129" spans="5:7" x14ac:dyDescent="0.35">
      <c r="E129" s="100"/>
      <c r="F129" s="100"/>
      <c r="G129" s="100"/>
    </row>
    <row r="130" spans="5:7" x14ac:dyDescent="0.35">
      <c r="E130" s="100"/>
      <c r="F130" s="100"/>
      <c r="G130" s="100"/>
    </row>
  </sheetData>
  <autoFilter ref="A2:AH114" xr:uid="{63C54E59-388D-41CA-8C3E-8C1236E4408B}"/>
  <sortState xmlns:xlrd2="http://schemas.microsoft.com/office/spreadsheetml/2017/richdata2" ref="A5:AH100">
    <sortCondition ref="M4:M109"/>
  </sortState>
  <mergeCells count="1">
    <mergeCell ref="A2:C2"/>
  </mergeCells>
  <conditionalFormatting sqref="O4:O101 Q4:Q101">
    <cfRule type="cellIs" dxfId="5" priority="15" operator="lessThan">
      <formula>0.9</formula>
    </cfRule>
    <cfRule type="cellIs" dxfId="4" priority="16" operator="greaterThan">
      <formula>1.1</formula>
    </cfRule>
  </conditionalFormatting>
  <conditionalFormatting sqref="O102:O103">
    <cfRule type="cellIs" dxfId="3" priority="3" operator="lessThan">
      <formula>0.9</formula>
    </cfRule>
    <cfRule type="cellIs" dxfId="2" priority="4" operator="greaterThan">
      <formula>1.1</formula>
    </cfRule>
  </conditionalFormatting>
  <conditionalFormatting sqref="Q102:Q103">
    <cfRule type="cellIs" dxfId="1" priority="1" operator="lessThan">
      <formula>0.9</formula>
    </cfRule>
    <cfRule type="cellIs" dxfId="0" priority="2" operator="greaterThan">
      <formula>1.1</formula>
    </cfRule>
  </conditionalFormatting>
  <conditionalFormatting sqref="D4:D101">
    <cfRule type="colorScale" priority="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101">
    <cfRule type="colorScale" priority="2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25" right="0.25" top="0.75" bottom="0.75" header="0.3" footer="0.3"/>
  <pageSetup scale="3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roadList">
                <anchor moveWithCells="1" sizeWithCells="1">
                  <from>
                    <xdr:col>0</xdr:col>
                    <xdr:colOff>228600</xdr:colOff>
                    <xdr:row>0</xdr:row>
                    <xdr:rowOff>57150</xdr:rowOff>
                  </from>
                  <to>
                    <xdr:col>0</xdr:col>
                    <xdr:colOff>939800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SeeAll">
                <anchor moveWithCells="1" sizeWithCells="1">
                  <from>
                    <xdr:col>5</xdr:col>
                    <xdr:colOff>69850</xdr:colOff>
                    <xdr:row>0</xdr:row>
                    <xdr:rowOff>38100</xdr:rowOff>
                  </from>
                  <to>
                    <xdr:col>5</xdr:col>
                    <xdr:colOff>1041400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FinalList">
                <anchor moveWithCells="1" sizeWithCells="1">
                  <from>
                    <xdr:col>0</xdr:col>
                    <xdr:colOff>1143000</xdr:colOff>
                    <xdr:row>0</xdr:row>
                    <xdr:rowOff>57150</xdr:rowOff>
                  </from>
                  <to>
                    <xdr:col>0</xdr:col>
                    <xdr:colOff>1860550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SortPercAdm">
                <anchor moveWithCells="1" sizeWithCells="1">
                  <from>
                    <xdr:col>12</xdr:col>
                    <xdr:colOff>63500</xdr:colOff>
                    <xdr:row>0</xdr:row>
                    <xdr:rowOff>38100</xdr:rowOff>
                  </from>
                  <to>
                    <xdr:col>13</xdr:col>
                    <xdr:colOff>469900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SortCategory">
                <anchor moveWithCells="1" sizeWithCells="1">
                  <from>
                    <xdr:col>15</xdr:col>
                    <xdr:colOff>101600</xdr:colOff>
                    <xdr:row>0</xdr:row>
                    <xdr:rowOff>38100</xdr:rowOff>
                  </from>
                  <to>
                    <xdr:col>16</xdr:col>
                    <xdr:colOff>577850</xdr:colOff>
                    <xdr:row>0</xdr:row>
                    <xdr:rowOff>355600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EDC17-75D5-4108-BA24-E0F44BB3E345}">
  <sheetPr codeName="Sheet5"/>
  <dimension ref="A1:CA101"/>
  <sheetViews>
    <sheetView topLeftCell="AX47" zoomScale="85" zoomScaleNormal="85" workbookViewId="0">
      <selection sqref="A1:CA101"/>
    </sheetView>
  </sheetViews>
  <sheetFormatPr defaultColWidth="8.90625" defaultRowHeight="14.5" x14ac:dyDescent="0.35"/>
  <cols>
    <col min="61" max="61" width="42" bestFit="1" customWidth="1"/>
  </cols>
  <sheetData>
    <row r="1" spans="1:79" x14ac:dyDescent="0.35">
      <c r="A1" t="s">
        <v>134</v>
      </c>
      <c r="B1" t="s">
        <v>486</v>
      </c>
      <c r="C1" t="s">
        <v>487</v>
      </c>
      <c r="D1" t="s">
        <v>488</v>
      </c>
      <c r="E1" t="s">
        <v>489</v>
      </c>
      <c r="F1" t="s">
        <v>490</v>
      </c>
      <c r="G1" t="s">
        <v>491</v>
      </c>
      <c r="H1" t="s">
        <v>492</v>
      </c>
      <c r="I1" t="s">
        <v>493</v>
      </c>
      <c r="J1" t="s">
        <v>494</v>
      </c>
      <c r="K1" t="s">
        <v>495</v>
      </c>
      <c r="L1" t="s">
        <v>496</v>
      </c>
      <c r="M1" t="s">
        <v>497</v>
      </c>
      <c r="N1" t="s">
        <v>171</v>
      </c>
      <c r="O1" t="s">
        <v>169</v>
      </c>
      <c r="P1" t="s">
        <v>170</v>
      </c>
      <c r="Q1" t="s">
        <v>393</v>
      </c>
      <c r="R1" t="s">
        <v>394</v>
      </c>
      <c r="S1" t="s">
        <v>174</v>
      </c>
      <c r="T1" t="s">
        <v>172</v>
      </c>
      <c r="U1" t="s">
        <v>173</v>
      </c>
      <c r="V1" t="s">
        <v>395</v>
      </c>
      <c r="W1" t="s">
        <v>396</v>
      </c>
      <c r="X1" t="s">
        <v>183</v>
      </c>
      <c r="Y1" t="s">
        <v>181</v>
      </c>
      <c r="Z1" t="s">
        <v>182</v>
      </c>
      <c r="AA1" t="s">
        <v>397</v>
      </c>
      <c r="AB1" t="s">
        <v>398</v>
      </c>
      <c r="AC1" t="s">
        <v>177</v>
      </c>
      <c r="AD1" t="s">
        <v>175</v>
      </c>
      <c r="AE1" t="s">
        <v>176</v>
      </c>
      <c r="AF1" t="s">
        <v>399</v>
      </c>
      <c r="AG1" t="s">
        <v>400</v>
      </c>
      <c r="AH1" t="s">
        <v>180</v>
      </c>
      <c r="AI1" t="s">
        <v>178</v>
      </c>
      <c r="AJ1" t="s">
        <v>179</v>
      </c>
      <c r="AK1" t="s">
        <v>401</v>
      </c>
      <c r="AL1" t="s">
        <v>402</v>
      </c>
      <c r="AM1" t="s">
        <v>184</v>
      </c>
      <c r="AN1" t="s">
        <v>185</v>
      </c>
      <c r="AO1" t="s">
        <v>186</v>
      </c>
      <c r="AP1" t="s">
        <v>187</v>
      </c>
      <c r="AQ1" t="s">
        <v>188</v>
      </c>
      <c r="AR1" t="s">
        <v>403</v>
      </c>
      <c r="AS1" t="s">
        <v>189</v>
      </c>
      <c r="AT1" t="s">
        <v>190</v>
      </c>
      <c r="AU1" t="s">
        <v>404</v>
      </c>
      <c r="AV1" t="s">
        <v>191</v>
      </c>
      <c r="AW1" t="s">
        <v>192</v>
      </c>
      <c r="AX1" t="s">
        <v>405</v>
      </c>
      <c r="AY1" t="s">
        <v>193</v>
      </c>
      <c r="AZ1" t="s">
        <v>194</v>
      </c>
      <c r="BA1" t="s">
        <v>406</v>
      </c>
      <c r="BB1" t="s">
        <v>195</v>
      </c>
      <c r="BC1" t="s">
        <v>196</v>
      </c>
      <c r="BD1" t="s">
        <v>407</v>
      </c>
      <c r="BE1" t="s">
        <v>197</v>
      </c>
      <c r="BF1" t="s">
        <v>198</v>
      </c>
      <c r="BG1" t="s">
        <v>199</v>
      </c>
      <c r="BH1" t="s">
        <v>200</v>
      </c>
      <c r="BI1" t="s">
        <v>133</v>
      </c>
      <c r="BJ1" t="s">
        <v>498</v>
      </c>
      <c r="BK1" t="s">
        <v>201</v>
      </c>
      <c r="BL1" t="s">
        <v>202</v>
      </c>
      <c r="BM1" t="s">
        <v>203</v>
      </c>
      <c r="BN1" t="s">
        <v>204</v>
      </c>
      <c r="BO1" t="s">
        <v>370</v>
      </c>
      <c r="BP1" t="s">
        <v>371</v>
      </c>
      <c r="BQ1" t="s">
        <v>372</v>
      </c>
      <c r="BR1" t="s">
        <v>373</v>
      </c>
      <c r="BS1" t="s">
        <v>374</v>
      </c>
      <c r="BT1" t="s">
        <v>375</v>
      </c>
      <c r="BU1" t="s">
        <v>408</v>
      </c>
      <c r="BV1" t="s">
        <v>409</v>
      </c>
      <c r="BW1" t="s">
        <v>410</v>
      </c>
      <c r="BX1" t="s">
        <v>411</v>
      </c>
      <c r="BY1" t="s">
        <v>412</v>
      </c>
      <c r="BZ1" t="s">
        <v>413</v>
      </c>
      <c r="CA1" t="s">
        <v>376</v>
      </c>
    </row>
    <row r="2" spans="1:79" x14ac:dyDescent="0.35">
      <c r="A2">
        <v>110635</v>
      </c>
      <c r="B2" t="s">
        <v>499</v>
      </c>
      <c r="C2" t="s">
        <v>500</v>
      </c>
      <c r="D2" t="s">
        <v>499</v>
      </c>
      <c r="E2" t="s">
        <v>501</v>
      </c>
      <c r="F2" t="s">
        <v>501</v>
      </c>
      <c r="G2" t="s">
        <v>500</v>
      </c>
      <c r="H2" t="s">
        <v>502</v>
      </c>
      <c r="I2" t="s">
        <v>499</v>
      </c>
      <c r="J2" t="s">
        <v>502</v>
      </c>
      <c r="K2" t="s">
        <v>501</v>
      </c>
      <c r="L2" t="s">
        <v>499</v>
      </c>
      <c r="M2" t="s">
        <v>500</v>
      </c>
      <c r="N2">
        <v>125910</v>
      </c>
      <c r="O2">
        <v>60232</v>
      </c>
      <c r="P2">
        <v>65678</v>
      </c>
      <c r="S2">
        <v>14677</v>
      </c>
      <c r="T2">
        <v>5546</v>
      </c>
      <c r="U2">
        <v>9131</v>
      </c>
      <c r="X2">
        <v>6641</v>
      </c>
      <c r="Y2">
        <v>2733</v>
      </c>
      <c r="Z2">
        <v>3908</v>
      </c>
      <c r="AC2">
        <v>6604</v>
      </c>
      <c r="AD2">
        <v>2723</v>
      </c>
      <c r="AE2">
        <v>3881</v>
      </c>
      <c r="AH2">
        <v>37</v>
      </c>
      <c r="AI2">
        <v>10</v>
      </c>
      <c r="AJ2">
        <v>27</v>
      </c>
      <c r="BF2">
        <v>12</v>
      </c>
      <c r="BG2">
        <v>9</v>
      </c>
      <c r="BH2">
        <v>14</v>
      </c>
      <c r="BI2" t="s">
        <v>135</v>
      </c>
      <c r="BJ2" t="s">
        <v>428</v>
      </c>
      <c r="BK2" t="s">
        <v>205</v>
      </c>
      <c r="BL2" t="s">
        <v>117</v>
      </c>
      <c r="BM2" t="s">
        <v>206</v>
      </c>
      <c r="BN2">
        <v>94720</v>
      </c>
      <c r="BO2" t="s">
        <v>503</v>
      </c>
      <c r="BP2" t="s">
        <v>504</v>
      </c>
      <c r="BQ2" t="s">
        <v>505</v>
      </c>
      <c r="BR2" t="s">
        <v>506</v>
      </c>
      <c r="BS2" t="s">
        <v>507</v>
      </c>
      <c r="BT2" t="s">
        <v>508</v>
      </c>
      <c r="BU2" t="s">
        <v>509</v>
      </c>
      <c r="BV2" t="s">
        <v>510</v>
      </c>
      <c r="BW2" t="s">
        <v>511</v>
      </c>
      <c r="BX2" t="s">
        <v>512</v>
      </c>
      <c r="BY2" t="s">
        <v>513</v>
      </c>
      <c r="BZ2" t="s">
        <v>508</v>
      </c>
      <c r="CA2" t="s">
        <v>514</v>
      </c>
    </row>
    <row r="3" spans="1:79" x14ac:dyDescent="0.35">
      <c r="A3">
        <v>110644</v>
      </c>
      <c r="B3" t="s">
        <v>499</v>
      </c>
      <c r="C3" t="s">
        <v>500</v>
      </c>
      <c r="D3" t="s">
        <v>499</v>
      </c>
      <c r="E3" t="s">
        <v>499</v>
      </c>
      <c r="F3" t="s">
        <v>500</v>
      </c>
      <c r="G3" t="s">
        <v>500</v>
      </c>
      <c r="H3" t="s">
        <v>502</v>
      </c>
      <c r="I3" t="s">
        <v>499</v>
      </c>
      <c r="J3" t="s">
        <v>502</v>
      </c>
      <c r="K3" t="s">
        <v>501</v>
      </c>
      <c r="L3" t="s">
        <v>499</v>
      </c>
      <c r="M3" t="s">
        <v>500</v>
      </c>
      <c r="N3">
        <v>94637</v>
      </c>
      <c r="O3">
        <v>44497</v>
      </c>
      <c r="P3">
        <v>50140</v>
      </c>
      <c r="S3">
        <v>39400</v>
      </c>
      <c r="T3">
        <v>16184</v>
      </c>
      <c r="U3">
        <v>23216</v>
      </c>
      <c r="X3">
        <v>6578</v>
      </c>
      <c r="Y3">
        <v>2624</v>
      </c>
      <c r="Z3">
        <v>3954</v>
      </c>
      <c r="AC3">
        <v>6413</v>
      </c>
      <c r="AD3">
        <v>2558</v>
      </c>
      <c r="AE3">
        <v>3855</v>
      </c>
      <c r="AH3">
        <v>165</v>
      </c>
      <c r="AI3">
        <v>66</v>
      </c>
      <c r="AJ3">
        <v>99</v>
      </c>
      <c r="BF3">
        <v>42</v>
      </c>
      <c r="BG3">
        <v>36</v>
      </c>
      <c r="BH3">
        <v>46</v>
      </c>
      <c r="BI3" t="s">
        <v>136</v>
      </c>
      <c r="BJ3" t="s">
        <v>436</v>
      </c>
      <c r="BK3" t="s">
        <v>450</v>
      </c>
      <c r="BL3" t="s">
        <v>451</v>
      </c>
      <c r="BM3" t="s">
        <v>206</v>
      </c>
      <c r="BN3" t="s">
        <v>452</v>
      </c>
      <c r="BO3" t="s">
        <v>503</v>
      </c>
      <c r="BP3" t="s">
        <v>504</v>
      </c>
      <c r="BQ3" t="s">
        <v>505</v>
      </c>
      <c r="BR3" t="s">
        <v>506</v>
      </c>
      <c r="BS3" t="s">
        <v>507</v>
      </c>
      <c r="BT3" t="s">
        <v>508</v>
      </c>
      <c r="BU3" t="s">
        <v>509</v>
      </c>
      <c r="BV3" t="s">
        <v>515</v>
      </c>
      <c r="BW3" t="s">
        <v>511</v>
      </c>
      <c r="BX3" t="s">
        <v>516</v>
      </c>
      <c r="BY3" t="s">
        <v>513</v>
      </c>
      <c r="BZ3" t="s">
        <v>508</v>
      </c>
      <c r="CA3" t="s">
        <v>514</v>
      </c>
    </row>
    <row r="4" spans="1:79" x14ac:dyDescent="0.35">
      <c r="A4">
        <v>110653</v>
      </c>
      <c r="B4" t="s">
        <v>499</v>
      </c>
      <c r="C4" t="s">
        <v>499</v>
      </c>
      <c r="D4" t="s">
        <v>499</v>
      </c>
      <c r="E4" t="s">
        <v>499</v>
      </c>
      <c r="F4" t="s">
        <v>500</v>
      </c>
      <c r="G4" t="s">
        <v>500</v>
      </c>
      <c r="H4" t="s">
        <v>502</v>
      </c>
      <c r="I4" t="s">
        <v>499</v>
      </c>
      <c r="J4" t="s">
        <v>502</v>
      </c>
      <c r="K4" t="s">
        <v>501</v>
      </c>
      <c r="L4" t="s">
        <v>499</v>
      </c>
      <c r="M4" t="s">
        <v>500</v>
      </c>
      <c r="N4">
        <v>121101</v>
      </c>
      <c r="O4">
        <v>56771</v>
      </c>
      <c r="P4">
        <v>64330</v>
      </c>
      <c r="S4">
        <v>30962</v>
      </c>
      <c r="T4">
        <v>13037</v>
      </c>
      <c r="U4">
        <v>17925</v>
      </c>
      <c r="X4">
        <v>6796</v>
      </c>
      <c r="Y4">
        <v>2903</v>
      </c>
      <c r="Z4">
        <v>3893</v>
      </c>
      <c r="AC4">
        <v>6777</v>
      </c>
      <c r="AD4">
        <v>2890</v>
      </c>
      <c r="AE4">
        <v>3887</v>
      </c>
      <c r="AH4">
        <v>19</v>
      </c>
      <c r="AI4">
        <v>13</v>
      </c>
      <c r="AJ4">
        <v>6</v>
      </c>
      <c r="BF4">
        <v>26</v>
      </c>
      <c r="BG4">
        <v>23</v>
      </c>
      <c r="BH4">
        <v>28</v>
      </c>
      <c r="BI4" t="s">
        <v>137</v>
      </c>
      <c r="BJ4" t="s">
        <v>429</v>
      </c>
      <c r="BK4" t="s">
        <v>453</v>
      </c>
      <c r="BL4" t="s">
        <v>454</v>
      </c>
      <c r="BM4" t="s">
        <v>206</v>
      </c>
      <c r="BN4">
        <v>92697</v>
      </c>
      <c r="BO4" t="s">
        <v>503</v>
      </c>
      <c r="BP4" t="s">
        <v>504</v>
      </c>
      <c r="BQ4" t="s">
        <v>505</v>
      </c>
      <c r="BR4" t="s">
        <v>506</v>
      </c>
      <c r="BS4" t="s">
        <v>507</v>
      </c>
      <c r="BT4" t="s">
        <v>508</v>
      </c>
      <c r="BU4" t="s">
        <v>517</v>
      </c>
      <c r="BV4" t="s">
        <v>515</v>
      </c>
      <c r="BW4" t="s">
        <v>511</v>
      </c>
      <c r="BX4" t="s">
        <v>516</v>
      </c>
      <c r="BY4" t="s">
        <v>513</v>
      </c>
      <c r="BZ4" t="s">
        <v>508</v>
      </c>
      <c r="CA4" t="s">
        <v>514</v>
      </c>
    </row>
    <row r="5" spans="1:79" x14ac:dyDescent="0.35">
      <c r="A5">
        <v>110662</v>
      </c>
      <c r="B5" t="s">
        <v>499</v>
      </c>
      <c r="C5" t="s">
        <v>500</v>
      </c>
      <c r="D5" t="s">
        <v>499</v>
      </c>
      <c r="E5" t="s">
        <v>499</v>
      </c>
      <c r="F5" t="s">
        <v>500</v>
      </c>
      <c r="G5" t="s">
        <v>500</v>
      </c>
      <c r="H5" t="s">
        <v>502</v>
      </c>
      <c r="I5" t="s">
        <v>499</v>
      </c>
      <c r="J5" t="s">
        <v>502</v>
      </c>
      <c r="K5" t="s">
        <v>500</v>
      </c>
      <c r="L5" t="s">
        <v>499</v>
      </c>
      <c r="M5" t="s">
        <v>500</v>
      </c>
      <c r="N5">
        <v>145903</v>
      </c>
      <c r="O5">
        <v>67384</v>
      </c>
      <c r="P5">
        <v>78519</v>
      </c>
      <c r="S5">
        <v>12736</v>
      </c>
      <c r="T5">
        <v>4979</v>
      </c>
      <c r="U5">
        <v>7757</v>
      </c>
      <c r="X5">
        <v>6585</v>
      </c>
      <c r="Y5">
        <v>2366</v>
      </c>
      <c r="Z5">
        <v>4219</v>
      </c>
      <c r="AC5">
        <v>6579</v>
      </c>
      <c r="AD5">
        <v>2365</v>
      </c>
      <c r="AE5">
        <v>4214</v>
      </c>
      <c r="AH5">
        <v>6</v>
      </c>
      <c r="AI5">
        <v>1</v>
      </c>
      <c r="AJ5">
        <v>5</v>
      </c>
      <c r="BF5">
        <v>9</v>
      </c>
      <c r="BG5">
        <v>7</v>
      </c>
      <c r="BH5">
        <v>10</v>
      </c>
      <c r="BI5" t="s">
        <v>138</v>
      </c>
      <c r="BJ5" t="s">
        <v>429</v>
      </c>
      <c r="BK5" t="s">
        <v>207</v>
      </c>
      <c r="BL5" t="s">
        <v>106</v>
      </c>
      <c r="BM5" t="s">
        <v>206</v>
      </c>
      <c r="BN5" t="s">
        <v>208</v>
      </c>
      <c r="BO5" t="s">
        <v>503</v>
      </c>
      <c r="BP5" t="s">
        <v>504</v>
      </c>
      <c r="BQ5" t="s">
        <v>505</v>
      </c>
      <c r="BR5" t="s">
        <v>506</v>
      </c>
      <c r="BS5" t="s">
        <v>507</v>
      </c>
      <c r="BT5" t="s">
        <v>508</v>
      </c>
      <c r="BU5" t="s">
        <v>518</v>
      </c>
      <c r="BV5" t="s">
        <v>515</v>
      </c>
      <c r="BW5" t="s">
        <v>511</v>
      </c>
      <c r="BX5" t="s">
        <v>512</v>
      </c>
      <c r="BY5" t="s">
        <v>519</v>
      </c>
      <c r="BZ5" t="s">
        <v>508</v>
      </c>
      <c r="CA5" t="s">
        <v>514</v>
      </c>
    </row>
    <row r="6" spans="1:79" x14ac:dyDescent="0.35">
      <c r="A6">
        <v>110680</v>
      </c>
      <c r="B6" t="s">
        <v>499</v>
      </c>
      <c r="C6" t="s">
        <v>500</v>
      </c>
      <c r="D6" t="s">
        <v>499</v>
      </c>
      <c r="E6" t="s">
        <v>499</v>
      </c>
      <c r="F6" t="s">
        <v>500</v>
      </c>
      <c r="G6" t="s">
        <v>500</v>
      </c>
      <c r="H6" t="s">
        <v>502</v>
      </c>
      <c r="I6" t="s">
        <v>499</v>
      </c>
      <c r="J6" t="s">
        <v>502</v>
      </c>
      <c r="K6" t="s">
        <v>501</v>
      </c>
      <c r="L6" t="s">
        <v>499</v>
      </c>
      <c r="M6" t="s">
        <v>500</v>
      </c>
      <c r="N6">
        <v>130771</v>
      </c>
      <c r="O6">
        <v>61536</v>
      </c>
      <c r="P6">
        <v>69235</v>
      </c>
      <c r="S6">
        <v>32062</v>
      </c>
      <c r="T6">
        <v>12837</v>
      </c>
      <c r="U6">
        <v>19225</v>
      </c>
      <c r="X6">
        <v>7005</v>
      </c>
      <c r="Y6">
        <v>2941</v>
      </c>
      <c r="Z6">
        <v>4064</v>
      </c>
      <c r="AC6">
        <v>6986</v>
      </c>
      <c r="AD6">
        <v>2928</v>
      </c>
      <c r="AE6">
        <v>4058</v>
      </c>
      <c r="AH6">
        <v>19</v>
      </c>
      <c r="AI6">
        <v>13</v>
      </c>
      <c r="AJ6">
        <v>6</v>
      </c>
      <c r="BF6">
        <v>25</v>
      </c>
      <c r="BG6">
        <v>21</v>
      </c>
      <c r="BH6">
        <v>28</v>
      </c>
      <c r="BI6" t="s">
        <v>139</v>
      </c>
      <c r="BJ6" t="s">
        <v>429</v>
      </c>
      <c r="BK6" t="s">
        <v>455</v>
      </c>
      <c r="BL6" t="s">
        <v>456</v>
      </c>
      <c r="BM6" t="s">
        <v>206</v>
      </c>
      <c r="BN6">
        <v>92093</v>
      </c>
      <c r="BO6" t="s">
        <v>503</v>
      </c>
      <c r="BP6" t="s">
        <v>504</v>
      </c>
      <c r="BQ6" t="s">
        <v>505</v>
      </c>
      <c r="BR6" t="s">
        <v>506</v>
      </c>
      <c r="BS6" t="s">
        <v>507</v>
      </c>
      <c r="BT6" t="s">
        <v>508</v>
      </c>
      <c r="BU6" t="s">
        <v>509</v>
      </c>
      <c r="BV6" t="s">
        <v>515</v>
      </c>
      <c r="BW6" t="s">
        <v>511</v>
      </c>
      <c r="BX6" t="s">
        <v>516</v>
      </c>
      <c r="BY6" t="s">
        <v>519</v>
      </c>
      <c r="BZ6" t="s">
        <v>508</v>
      </c>
      <c r="CA6" t="s">
        <v>514</v>
      </c>
    </row>
    <row r="7" spans="1:79" x14ac:dyDescent="0.35">
      <c r="A7">
        <v>110705</v>
      </c>
      <c r="B7" t="s">
        <v>499</v>
      </c>
      <c r="C7" t="s">
        <v>500</v>
      </c>
      <c r="D7" t="s">
        <v>499</v>
      </c>
      <c r="E7" t="s">
        <v>499</v>
      </c>
      <c r="F7" t="s">
        <v>500</v>
      </c>
      <c r="G7" t="s">
        <v>500</v>
      </c>
      <c r="H7" t="s">
        <v>502</v>
      </c>
      <c r="I7" t="s">
        <v>499</v>
      </c>
      <c r="J7" t="s">
        <v>502</v>
      </c>
      <c r="K7" t="s">
        <v>500</v>
      </c>
      <c r="L7" t="s">
        <v>499</v>
      </c>
      <c r="M7" t="s">
        <v>500</v>
      </c>
      <c r="N7">
        <v>110871</v>
      </c>
      <c r="O7">
        <v>50391</v>
      </c>
      <c r="P7">
        <v>60480</v>
      </c>
      <c r="S7">
        <v>30804</v>
      </c>
      <c r="T7">
        <v>12402</v>
      </c>
      <c r="U7">
        <v>18402</v>
      </c>
      <c r="X7">
        <v>5043</v>
      </c>
      <c r="Y7">
        <v>1988</v>
      </c>
      <c r="Z7">
        <v>3055</v>
      </c>
      <c r="AC7">
        <v>5014</v>
      </c>
      <c r="AD7">
        <v>1976</v>
      </c>
      <c r="AE7">
        <v>3038</v>
      </c>
      <c r="AH7">
        <v>29</v>
      </c>
      <c r="AI7">
        <v>12</v>
      </c>
      <c r="AJ7">
        <v>17</v>
      </c>
      <c r="BF7">
        <v>28</v>
      </c>
      <c r="BG7">
        <v>25</v>
      </c>
      <c r="BH7">
        <v>30</v>
      </c>
      <c r="BI7" t="s">
        <v>140</v>
      </c>
      <c r="BJ7" t="s">
        <v>435</v>
      </c>
      <c r="BK7" t="s">
        <v>457</v>
      </c>
      <c r="BL7" t="s">
        <v>458</v>
      </c>
      <c r="BM7" t="s">
        <v>206</v>
      </c>
      <c r="BN7">
        <v>93106</v>
      </c>
      <c r="BO7" t="s">
        <v>503</v>
      </c>
      <c r="BP7" t="s">
        <v>520</v>
      </c>
      <c r="BQ7" t="s">
        <v>505</v>
      </c>
      <c r="BR7" t="s">
        <v>506</v>
      </c>
      <c r="BS7" t="s">
        <v>507</v>
      </c>
      <c r="BT7" t="s">
        <v>508</v>
      </c>
      <c r="BU7" t="s">
        <v>518</v>
      </c>
      <c r="BV7" t="s">
        <v>510</v>
      </c>
      <c r="BW7" t="s">
        <v>511</v>
      </c>
      <c r="BX7" t="s">
        <v>516</v>
      </c>
      <c r="BY7" t="s">
        <v>513</v>
      </c>
      <c r="BZ7" t="s">
        <v>508</v>
      </c>
      <c r="CA7" t="s">
        <v>514</v>
      </c>
    </row>
    <row r="8" spans="1:79" x14ac:dyDescent="0.35">
      <c r="A8">
        <v>120254</v>
      </c>
      <c r="B8" t="s">
        <v>501</v>
      </c>
      <c r="C8" t="s">
        <v>501</v>
      </c>
      <c r="D8" t="s">
        <v>499</v>
      </c>
      <c r="E8" t="s">
        <v>501</v>
      </c>
      <c r="F8" t="s">
        <v>499</v>
      </c>
      <c r="G8" t="s">
        <v>501</v>
      </c>
      <c r="H8" t="s">
        <v>521</v>
      </c>
      <c r="I8" t="s">
        <v>499</v>
      </c>
      <c r="J8" t="s">
        <v>502</v>
      </c>
      <c r="K8" t="s">
        <v>501</v>
      </c>
      <c r="L8" t="s">
        <v>499</v>
      </c>
      <c r="M8" t="s">
        <v>501</v>
      </c>
      <c r="N8">
        <v>6573</v>
      </c>
      <c r="O8">
        <v>2519</v>
      </c>
      <c r="P8">
        <v>3782</v>
      </c>
      <c r="Q8">
        <v>272</v>
      </c>
      <c r="R8">
        <v>0</v>
      </c>
      <c r="S8">
        <v>2622</v>
      </c>
      <c r="T8">
        <v>922</v>
      </c>
      <c r="U8">
        <v>1601</v>
      </c>
      <c r="V8">
        <v>99</v>
      </c>
      <c r="W8">
        <v>0</v>
      </c>
      <c r="X8">
        <v>532</v>
      </c>
      <c r="Y8">
        <v>221</v>
      </c>
      <c r="Z8">
        <v>276</v>
      </c>
      <c r="AA8">
        <v>35</v>
      </c>
      <c r="AB8">
        <v>0</v>
      </c>
      <c r="AC8">
        <v>532</v>
      </c>
      <c r="AD8">
        <v>221</v>
      </c>
      <c r="AE8">
        <v>276</v>
      </c>
      <c r="AF8">
        <v>35</v>
      </c>
      <c r="AG8">
        <v>0</v>
      </c>
      <c r="AM8">
        <v>121</v>
      </c>
      <c r="AN8">
        <v>23</v>
      </c>
      <c r="AO8">
        <v>68</v>
      </c>
      <c r="AP8">
        <v>13</v>
      </c>
      <c r="AQ8">
        <v>690</v>
      </c>
      <c r="AR8">
        <v>730</v>
      </c>
      <c r="AS8">
        <v>750</v>
      </c>
      <c r="AT8">
        <v>670</v>
      </c>
      <c r="AU8">
        <v>720</v>
      </c>
      <c r="AV8">
        <v>750</v>
      </c>
      <c r="AW8">
        <v>31</v>
      </c>
      <c r="AX8">
        <v>33</v>
      </c>
      <c r="AY8">
        <v>34</v>
      </c>
      <c r="AZ8">
        <v>32</v>
      </c>
      <c r="BA8">
        <v>35</v>
      </c>
      <c r="BB8">
        <v>35</v>
      </c>
      <c r="BC8">
        <v>28</v>
      </c>
      <c r="BD8">
        <v>31</v>
      </c>
      <c r="BE8">
        <v>33</v>
      </c>
      <c r="BF8">
        <v>40</v>
      </c>
      <c r="BG8">
        <v>37</v>
      </c>
      <c r="BH8">
        <v>42</v>
      </c>
      <c r="BI8" t="s">
        <v>25</v>
      </c>
      <c r="BJ8" t="s">
        <v>429</v>
      </c>
      <c r="BK8" t="s">
        <v>209</v>
      </c>
      <c r="BL8" t="s">
        <v>106</v>
      </c>
      <c r="BM8" t="s">
        <v>206</v>
      </c>
      <c r="BN8" t="s">
        <v>210</v>
      </c>
      <c r="BO8" t="s">
        <v>503</v>
      </c>
      <c r="BP8" t="s">
        <v>522</v>
      </c>
      <c r="BQ8" t="s">
        <v>523</v>
      </c>
      <c r="BR8" t="s">
        <v>524</v>
      </c>
      <c r="BS8" t="s">
        <v>525</v>
      </c>
      <c r="BT8" t="s">
        <v>525</v>
      </c>
      <c r="BU8" t="s">
        <v>526</v>
      </c>
      <c r="BV8" t="s">
        <v>527</v>
      </c>
      <c r="BW8" t="s">
        <v>528</v>
      </c>
      <c r="BX8" t="s">
        <v>529</v>
      </c>
      <c r="BY8" t="s">
        <v>530</v>
      </c>
      <c r="BZ8" t="s">
        <v>525</v>
      </c>
      <c r="CA8" t="s">
        <v>531</v>
      </c>
    </row>
    <row r="9" spans="1:79" x14ac:dyDescent="0.35">
      <c r="A9">
        <v>121257</v>
      </c>
      <c r="B9" t="s">
        <v>501</v>
      </c>
      <c r="C9" t="s">
        <v>501</v>
      </c>
      <c r="D9" t="s">
        <v>499</v>
      </c>
      <c r="E9" t="s">
        <v>501</v>
      </c>
      <c r="F9" t="s">
        <v>499</v>
      </c>
      <c r="G9" t="s">
        <v>501</v>
      </c>
      <c r="H9" t="s">
        <v>502</v>
      </c>
      <c r="I9" t="s">
        <v>499</v>
      </c>
      <c r="J9" t="s">
        <v>502</v>
      </c>
      <c r="K9" t="s">
        <v>501</v>
      </c>
      <c r="L9" t="s">
        <v>499</v>
      </c>
      <c r="M9" t="s">
        <v>500</v>
      </c>
      <c r="N9">
        <v>3464</v>
      </c>
      <c r="O9">
        <v>1190</v>
      </c>
      <c r="P9">
        <v>2055</v>
      </c>
      <c r="Q9">
        <v>219</v>
      </c>
      <c r="R9">
        <v>0</v>
      </c>
      <c r="S9">
        <v>577</v>
      </c>
      <c r="T9">
        <v>213</v>
      </c>
      <c r="U9">
        <v>314</v>
      </c>
      <c r="V9">
        <v>50</v>
      </c>
      <c r="W9">
        <v>0</v>
      </c>
      <c r="X9">
        <v>275</v>
      </c>
      <c r="Y9">
        <v>100</v>
      </c>
      <c r="Z9">
        <v>153</v>
      </c>
      <c r="AA9">
        <v>22</v>
      </c>
      <c r="AB9">
        <v>0</v>
      </c>
      <c r="AC9">
        <v>275</v>
      </c>
      <c r="AD9">
        <v>100</v>
      </c>
      <c r="AE9">
        <v>153</v>
      </c>
      <c r="AF9">
        <v>22</v>
      </c>
      <c r="AG9">
        <v>0</v>
      </c>
      <c r="BF9">
        <v>17</v>
      </c>
      <c r="BG9">
        <v>18</v>
      </c>
      <c r="BH9">
        <v>15</v>
      </c>
      <c r="BI9" t="s">
        <v>72</v>
      </c>
      <c r="BJ9" t="s">
        <v>430</v>
      </c>
      <c r="BK9" t="s">
        <v>211</v>
      </c>
      <c r="BL9" t="s">
        <v>107</v>
      </c>
      <c r="BM9" t="s">
        <v>206</v>
      </c>
      <c r="BN9" t="s">
        <v>212</v>
      </c>
      <c r="BO9" t="s">
        <v>532</v>
      </c>
      <c r="BP9" t="s">
        <v>533</v>
      </c>
      <c r="BQ9" t="s">
        <v>523</v>
      </c>
      <c r="BR9" t="s">
        <v>524</v>
      </c>
      <c r="BS9" t="s">
        <v>525</v>
      </c>
      <c r="BT9" t="s">
        <v>525</v>
      </c>
      <c r="BU9" t="s">
        <v>526</v>
      </c>
      <c r="BV9" t="s">
        <v>527</v>
      </c>
      <c r="BW9" t="s">
        <v>528</v>
      </c>
      <c r="BX9" t="s">
        <v>529</v>
      </c>
      <c r="BY9" t="s">
        <v>534</v>
      </c>
      <c r="BZ9" t="s">
        <v>525</v>
      </c>
      <c r="CA9" t="s">
        <v>531</v>
      </c>
    </row>
    <row r="10" spans="1:79" x14ac:dyDescent="0.35">
      <c r="A10">
        <v>121345</v>
      </c>
      <c r="B10" t="s">
        <v>501</v>
      </c>
      <c r="C10" t="s">
        <v>501</v>
      </c>
      <c r="D10" t="s">
        <v>499</v>
      </c>
      <c r="E10" t="s">
        <v>499</v>
      </c>
      <c r="F10" t="s">
        <v>499</v>
      </c>
      <c r="G10" t="s">
        <v>501</v>
      </c>
      <c r="H10" t="s">
        <v>521</v>
      </c>
      <c r="I10" t="s">
        <v>499</v>
      </c>
      <c r="J10" t="s">
        <v>502</v>
      </c>
      <c r="K10" t="s">
        <v>501</v>
      </c>
      <c r="L10" t="s">
        <v>499</v>
      </c>
      <c r="M10" t="s">
        <v>500</v>
      </c>
      <c r="N10">
        <v>12121</v>
      </c>
      <c r="O10">
        <v>4985</v>
      </c>
      <c r="P10">
        <v>7133</v>
      </c>
      <c r="S10">
        <v>819</v>
      </c>
      <c r="T10">
        <v>377</v>
      </c>
      <c r="U10">
        <v>440</v>
      </c>
      <c r="X10">
        <v>408</v>
      </c>
      <c r="Y10">
        <v>189</v>
      </c>
      <c r="Z10">
        <v>217</v>
      </c>
      <c r="AC10">
        <v>408</v>
      </c>
      <c r="AD10">
        <v>189</v>
      </c>
      <c r="AE10">
        <v>217</v>
      </c>
      <c r="AH10">
        <v>0</v>
      </c>
      <c r="AI10">
        <v>0</v>
      </c>
      <c r="AJ10">
        <v>0</v>
      </c>
      <c r="AM10">
        <v>120</v>
      </c>
      <c r="AN10">
        <v>29</v>
      </c>
      <c r="AO10">
        <v>61</v>
      </c>
      <c r="AP10">
        <v>15</v>
      </c>
      <c r="AQ10">
        <v>730</v>
      </c>
      <c r="AR10">
        <v>750</v>
      </c>
      <c r="AS10">
        <v>770</v>
      </c>
      <c r="AT10">
        <v>750</v>
      </c>
      <c r="AU10">
        <v>770</v>
      </c>
      <c r="AV10">
        <v>790</v>
      </c>
      <c r="AW10">
        <v>33</v>
      </c>
      <c r="AX10">
        <v>34</v>
      </c>
      <c r="AY10">
        <v>35</v>
      </c>
      <c r="AZ10">
        <v>35</v>
      </c>
      <c r="BA10">
        <v>35</v>
      </c>
      <c r="BB10">
        <v>36</v>
      </c>
      <c r="BC10">
        <v>30</v>
      </c>
      <c r="BD10">
        <v>32</v>
      </c>
      <c r="BE10">
        <v>35</v>
      </c>
      <c r="BF10">
        <v>7</v>
      </c>
      <c r="BG10">
        <v>8</v>
      </c>
      <c r="BH10">
        <v>6</v>
      </c>
      <c r="BI10" t="s">
        <v>27</v>
      </c>
      <c r="BJ10" t="s">
        <v>430</v>
      </c>
      <c r="BK10" t="s">
        <v>213</v>
      </c>
      <c r="BL10" t="s">
        <v>107</v>
      </c>
      <c r="BM10" t="s">
        <v>206</v>
      </c>
      <c r="BN10" t="s">
        <v>476</v>
      </c>
      <c r="BO10" t="s">
        <v>532</v>
      </c>
      <c r="BP10" t="s">
        <v>533</v>
      </c>
      <c r="BQ10" t="s">
        <v>523</v>
      </c>
      <c r="BR10" t="s">
        <v>524</v>
      </c>
      <c r="BS10" t="s">
        <v>525</v>
      </c>
      <c r="BT10" t="s">
        <v>525</v>
      </c>
      <c r="BU10" t="s">
        <v>526</v>
      </c>
      <c r="BV10" t="s">
        <v>527</v>
      </c>
      <c r="BW10" t="s">
        <v>528</v>
      </c>
      <c r="BX10" t="s">
        <v>529</v>
      </c>
      <c r="BY10" t="s">
        <v>530</v>
      </c>
      <c r="BZ10" t="s">
        <v>525</v>
      </c>
      <c r="CA10" t="s">
        <v>531</v>
      </c>
    </row>
    <row r="11" spans="1:79" x14ac:dyDescent="0.35">
      <c r="A11">
        <v>123961</v>
      </c>
      <c r="B11" t="s">
        <v>499</v>
      </c>
      <c r="C11" t="s">
        <v>501</v>
      </c>
      <c r="D11" t="s">
        <v>499</v>
      </c>
      <c r="E11" t="s">
        <v>499</v>
      </c>
      <c r="F11" t="s">
        <v>499</v>
      </c>
      <c r="G11" t="s">
        <v>499</v>
      </c>
      <c r="H11" t="s">
        <v>521</v>
      </c>
      <c r="I11" t="s">
        <v>499</v>
      </c>
      <c r="J11" t="s">
        <v>502</v>
      </c>
      <c r="K11" t="s">
        <v>501</v>
      </c>
      <c r="L11" t="s">
        <v>499</v>
      </c>
      <c r="M11" t="s">
        <v>501</v>
      </c>
      <c r="N11">
        <v>80808</v>
      </c>
      <c r="O11">
        <v>35879</v>
      </c>
      <c r="P11">
        <v>44057</v>
      </c>
      <c r="Q11">
        <v>872</v>
      </c>
      <c r="R11">
        <v>0</v>
      </c>
      <c r="S11">
        <v>8094</v>
      </c>
      <c r="T11">
        <v>3888</v>
      </c>
      <c r="U11">
        <v>4110</v>
      </c>
      <c r="V11">
        <v>96</v>
      </c>
      <c r="W11">
        <v>0</v>
      </c>
      <c r="X11">
        <v>3633</v>
      </c>
      <c r="Y11">
        <v>1698</v>
      </c>
      <c r="Z11">
        <v>1890</v>
      </c>
      <c r="AA11">
        <v>45</v>
      </c>
      <c r="AB11">
        <v>0</v>
      </c>
      <c r="AC11">
        <v>3630</v>
      </c>
      <c r="AD11">
        <v>1696</v>
      </c>
      <c r="AE11">
        <v>1889</v>
      </c>
      <c r="AF11">
        <v>45</v>
      </c>
      <c r="AG11">
        <v>0</v>
      </c>
      <c r="AH11">
        <v>3</v>
      </c>
      <c r="AI11">
        <v>2</v>
      </c>
      <c r="AJ11">
        <v>1</v>
      </c>
      <c r="AK11">
        <v>0</v>
      </c>
      <c r="AL11">
        <v>0</v>
      </c>
      <c r="AM11">
        <v>1154</v>
      </c>
      <c r="AN11">
        <v>32</v>
      </c>
      <c r="AO11">
        <v>508</v>
      </c>
      <c r="AP11">
        <v>14</v>
      </c>
      <c r="AQ11">
        <v>700</v>
      </c>
      <c r="AR11">
        <v>730</v>
      </c>
      <c r="AS11">
        <v>760</v>
      </c>
      <c r="AT11">
        <v>740</v>
      </c>
      <c r="AU11">
        <v>780</v>
      </c>
      <c r="AV11">
        <v>790</v>
      </c>
      <c r="AW11">
        <v>32</v>
      </c>
      <c r="AX11">
        <v>33</v>
      </c>
      <c r="AY11">
        <v>35</v>
      </c>
      <c r="AZ11">
        <v>34</v>
      </c>
      <c r="BA11">
        <v>35</v>
      </c>
      <c r="BB11">
        <v>35</v>
      </c>
      <c r="BC11">
        <v>30</v>
      </c>
      <c r="BD11">
        <v>33</v>
      </c>
      <c r="BE11">
        <v>35</v>
      </c>
      <c r="BF11">
        <v>10</v>
      </c>
      <c r="BG11">
        <v>11</v>
      </c>
      <c r="BH11">
        <v>9</v>
      </c>
      <c r="BI11" t="s">
        <v>16</v>
      </c>
      <c r="BJ11" t="s">
        <v>429</v>
      </c>
      <c r="BK11" t="s">
        <v>214</v>
      </c>
      <c r="BL11" t="s">
        <v>106</v>
      </c>
      <c r="BM11" t="s">
        <v>206</v>
      </c>
      <c r="BN11">
        <v>90089</v>
      </c>
      <c r="BO11" t="s">
        <v>503</v>
      </c>
      <c r="BP11" t="s">
        <v>504</v>
      </c>
      <c r="BQ11" t="s">
        <v>505</v>
      </c>
      <c r="BR11" t="s">
        <v>506</v>
      </c>
      <c r="BS11" t="s">
        <v>507</v>
      </c>
      <c r="BT11" t="s">
        <v>508</v>
      </c>
      <c r="BU11" t="s">
        <v>517</v>
      </c>
      <c r="BV11" t="s">
        <v>515</v>
      </c>
      <c r="BW11" t="s">
        <v>511</v>
      </c>
      <c r="BX11" t="s">
        <v>535</v>
      </c>
      <c r="BY11" t="s">
        <v>513</v>
      </c>
      <c r="BZ11" t="s">
        <v>508</v>
      </c>
      <c r="CA11" t="s">
        <v>514</v>
      </c>
    </row>
    <row r="12" spans="1:79" x14ac:dyDescent="0.35">
      <c r="A12">
        <v>128902</v>
      </c>
      <c r="B12" t="s">
        <v>501</v>
      </c>
      <c r="C12" t="s">
        <v>501</v>
      </c>
      <c r="D12" t="s">
        <v>499</v>
      </c>
      <c r="E12" t="s">
        <v>501</v>
      </c>
      <c r="F12" t="s">
        <v>499</v>
      </c>
      <c r="G12" t="s">
        <v>501</v>
      </c>
      <c r="H12" t="s">
        <v>521</v>
      </c>
      <c r="I12" t="s">
        <v>499</v>
      </c>
      <c r="J12" t="s">
        <v>502</v>
      </c>
      <c r="K12" t="s">
        <v>501</v>
      </c>
      <c r="L12" t="s">
        <v>499</v>
      </c>
      <c r="M12" t="s">
        <v>501</v>
      </c>
      <c r="N12">
        <v>9397</v>
      </c>
      <c r="O12">
        <v>3774</v>
      </c>
      <c r="P12">
        <v>5623</v>
      </c>
      <c r="R12">
        <v>0</v>
      </c>
      <c r="S12">
        <v>3597</v>
      </c>
      <c r="T12">
        <v>1205</v>
      </c>
      <c r="U12">
        <v>2392</v>
      </c>
      <c r="W12">
        <v>0</v>
      </c>
      <c r="X12">
        <v>555</v>
      </c>
      <c r="Y12">
        <v>213</v>
      </c>
      <c r="Z12">
        <v>342</v>
      </c>
      <c r="AB12">
        <v>0</v>
      </c>
      <c r="AC12">
        <v>555</v>
      </c>
      <c r="AD12">
        <v>213</v>
      </c>
      <c r="AE12">
        <v>342</v>
      </c>
      <c r="AG12">
        <v>0</v>
      </c>
      <c r="AM12">
        <v>100</v>
      </c>
      <c r="AN12">
        <v>18</v>
      </c>
      <c r="AO12">
        <v>45</v>
      </c>
      <c r="AP12">
        <v>8</v>
      </c>
      <c r="AQ12">
        <v>680</v>
      </c>
      <c r="AR12">
        <v>710</v>
      </c>
      <c r="AS12">
        <v>740</v>
      </c>
      <c r="AT12">
        <v>660</v>
      </c>
      <c r="AU12">
        <v>690</v>
      </c>
      <c r="AV12">
        <v>730</v>
      </c>
      <c r="AW12">
        <v>31</v>
      </c>
      <c r="AX12">
        <v>32</v>
      </c>
      <c r="AY12">
        <v>33</v>
      </c>
      <c r="AZ12">
        <v>32</v>
      </c>
      <c r="BA12">
        <v>34</v>
      </c>
      <c r="BB12">
        <v>35</v>
      </c>
      <c r="BC12">
        <v>28</v>
      </c>
      <c r="BD12">
        <v>29</v>
      </c>
      <c r="BE12">
        <v>31</v>
      </c>
      <c r="BF12">
        <v>38</v>
      </c>
      <c r="BG12">
        <v>32</v>
      </c>
      <c r="BH12">
        <v>43</v>
      </c>
      <c r="BI12" t="s">
        <v>141</v>
      </c>
      <c r="BJ12" t="s">
        <v>431</v>
      </c>
      <c r="BK12" t="s">
        <v>420</v>
      </c>
      <c r="BL12" t="s">
        <v>419</v>
      </c>
      <c r="BM12" t="s">
        <v>216</v>
      </c>
      <c r="BN12" t="s">
        <v>421</v>
      </c>
      <c r="BO12" t="s">
        <v>532</v>
      </c>
      <c r="BP12" t="s">
        <v>533</v>
      </c>
      <c r="BQ12" t="s">
        <v>523</v>
      </c>
      <c r="BR12" t="s">
        <v>524</v>
      </c>
      <c r="BS12" t="s">
        <v>525</v>
      </c>
      <c r="BT12" t="s">
        <v>525</v>
      </c>
      <c r="BU12" t="s">
        <v>526</v>
      </c>
      <c r="BV12" t="s">
        <v>527</v>
      </c>
      <c r="BW12" t="s">
        <v>528</v>
      </c>
      <c r="BX12" t="s">
        <v>529</v>
      </c>
      <c r="BY12" t="s">
        <v>530</v>
      </c>
      <c r="BZ12" t="s">
        <v>525</v>
      </c>
      <c r="CA12" t="s">
        <v>531</v>
      </c>
    </row>
    <row r="13" spans="1:79" x14ac:dyDescent="0.35">
      <c r="A13">
        <v>130590</v>
      </c>
      <c r="B13" t="s">
        <v>501</v>
      </c>
      <c r="C13" t="s">
        <v>501</v>
      </c>
      <c r="D13" t="s">
        <v>499</v>
      </c>
      <c r="E13" t="s">
        <v>499</v>
      </c>
      <c r="F13" t="s">
        <v>499</v>
      </c>
      <c r="G13" t="s">
        <v>501</v>
      </c>
      <c r="H13" t="s">
        <v>521</v>
      </c>
      <c r="I13" t="s">
        <v>499</v>
      </c>
      <c r="J13" t="s">
        <v>502</v>
      </c>
      <c r="K13" t="s">
        <v>501</v>
      </c>
      <c r="L13" t="s">
        <v>499</v>
      </c>
      <c r="M13" t="s">
        <v>501</v>
      </c>
      <c r="N13">
        <v>6396</v>
      </c>
      <c r="O13">
        <v>3084</v>
      </c>
      <c r="P13">
        <v>3312</v>
      </c>
      <c r="S13">
        <v>2144</v>
      </c>
      <c r="T13">
        <v>936</v>
      </c>
      <c r="U13">
        <v>1208</v>
      </c>
      <c r="X13">
        <v>579</v>
      </c>
      <c r="Y13">
        <v>262</v>
      </c>
      <c r="Z13">
        <v>317</v>
      </c>
      <c r="AC13">
        <v>577</v>
      </c>
      <c r="AD13">
        <v>260</v>
      </c>
      <c r="AE13">
        <v>317</v>
      </c>
      <c r="AH13">
        <v>2</v>
      </c>
      <c r="AI13">
        <v>2</v>
      </c>
      <c r="AJ13">
        <v>0</v>
      </c>
      <c r="AM13">
        <v>53</v>
      </c>
      <c r="AN13">
        <v>9</v>
      </c>
      <c r="AO13">
        <v>23</v>
      </c>
      <c r="AP13">
        <v>4</v>
      </c>
      <c r="AQ13">
        <v>660</v>
      </c>
      <c r="AR13">
        <v>690</v>
      </c>
      <c r="AS13">
        <v>730</v>
      </c>
      <c r="AT13">
        <v>650</v>
      </c>
      <c r="AU13">
        <v>700</v>
      </c>
      <c r="AV13">
        <v>730</v>
      </c>
      <c r="AW13">
        <v>30</v>
      </c>
      <c r="AX13">
        <v>31</v>
      </c>
      <c r="AY13">
        <v>33</v>
      </c>
      <c r="AZ13">
        <v>29</v>
      </c>
      <c r="BA13">
        <v>32</v>
      </c>
      <c r="BB13">
        <v>35</v>
      </c>
      <c r="BC13">
        <v>27</v>
      </c>
      <c r="BD13">
        <v>28</v>
      </c>
      <c r="BE13">
        <v>30</v>
      </c>
      <c r="BF13">
        <v>34</v>
      </c>
      <c r="BG13">
        <v>30</v>
      </c>
      <c r="BH13">
        <v>36</v>
      </c>
      <c r="BI13" t="s">
        <v>43</v>
      </c>
      <c r="BJ13" t="s">
        <v>428</v>
      </c>
      <c r="BK13" t="s">
        <v>215</v>
      </c>
      <c r="BL13" t="s">
        <v>114</v>
      </c>
      <c r="BM13" t="s">
        <v>216</v>
      </c>
      <c r="BN13" t="s">
        <v>217</v>
      </c>
      <c r="BO13" t="s">
        <v>503</v>
      </c>
      <c r="BP13" t="s">
        <v>522</v>
      </c>
      <c r="BQ13" t="s">
        <v>523</v>
      </c>
      <c r="BR13" t="s">
        <v>524</v>
      </c>
      <c r="BS13" t="s">
        <v>525</v>
      </c>
      <c r="BT13" t="s">
        <v>525</v>
      </c>
      <c r="BU13" t="s">
        <v>536</v>
      </c>
      <c r="BV13" t="s">
        <v>537</v>
      </c>
      <c r="BW13" t="s">
        <v>528</v>
      </c>
      <c r="BX13" t="s">
        <v>538</v>
      </c>
      <c r="BY13" t="s">
        <v>530</v>
      </c>
      <c r="BZ13" t="s">
        <v>525</v>
      </c>
      <c r="CA13" t="s">
        <v>531</v>
      </c>
    </row>
    <row r="14" spans="1:79" x14ac:dyDescent="0.35">
      <c r="A14">
        <v>130697</v>
      </c>
      <c r="B14" t="s">
        <v>501</v>
      </c>
      <c r="C14" t="s">
        <v>501</v>
      </c>
      <c r="D14" t="s">
        <v>499</v>
      </c>
      <c r="E14" t="s">
        <v>501</v>
      </c>
      <c r="F14" t="s">
        <v>499</v>
      </c>
      <c r="G14" t="s">
        <v>501</v>
      </c>
      <c r="H14" t="s">
        <v>521</v>
      </c>
      <c r="I14" t="s">
        <v>521</v>
      </c>
      <c r="J14" t="s">
        <v>502</v>
      </c>
      <c r="K14" t="s">
        <v>501</v>
      </c>
      <c r="L14" t="s">
        <v>499</v>
      </c>
      <c r="M14" t="s">
        <v>500</v>
      </c>
      <c r="N14">
        <v>14500</v>
      </c>
      <c r="O14">
        <v>5772</v>
      </c>
      <c r="P14">
        <v>8728</v>
      </c>
      <c r="Q14">
        <v>0</v>
      </c>
      <c r="R14">
        <v>0</v>
      </c>
      <c r="S14">
        <v>2479</v>
      </c>
      <c r="T14">
        <v>1054</v>
      </c>
      <c r="U14">
        <v>1425</v>
      </c>
      <c r="W14">
        <v>0</v>
      </c>
      <c r="X14">
        <v>782</v>
      </c>
      <c r="Y14">
        <v>371</v>
      </c>
      <c r="Z14">
        <v>411</v>
      </c>
      <c r="AB14">
        <v>0</v>
      </c>
      <c r="AC14">
        <v>782</v>
      </c>
      <c r="AD14">
        <v>371</v>
      </c>
      <c r="AE14">
        <v>411</v>
      </c>
      <c r="AG14">
        <v>0</v>
      </c>
      <c r="AM14">
        <v>218</v>
      </c>
      <c r="AN14">
        <v>28</v>
      </c>
      <c r="AO14">
        <v>109</v>
      </c>
      <c r="AP14">
        <v>14</v>
      </c>
      <c r="AQ14">
        <v>720</v>
      </c>
      <c r="AR14">
        <v>750</v>
      </c>
      <c r="AS14">
        <v>770</v>
      </c>
      <c r="AT14">
        <v>730</v>
      </c>
      <c r="AU14">
        <v>760</v>
      </c>
      <c r="AV14">
        <v>770</v>
      </c>
      <c r="AW14">
        <v>33</v>
      </c>
      <c r="AX14">
        <v>34</v>
      </c>
      <c r="AY14">
        <v>35</v>
      </c>
      <c r="AZ14">
        <v>35</v>
      </c>
      <c r="BA14">
        <v>35</v>
      </c>
      <c r="BB14">
        <v>35</v>
      </c>
      <c r="BC14">
        <v>30</v>
      </c>
      <c r="BD14">
        <v>32</v>
      </c>
      <c r="BE14">
        <v>34</v>
      </c>
      <c r="BF14">
        <v>17</v>
      </c>
      <c r="BG14">
        <v>18</v>
      </c>
      <c r="BH14">
        <v>16</v>
      </c>
      <c r="BI14" t="s">
        <v>142</v>
      </c>
      <c r="BJ14" t="s">
        <v>431</v>
      </c>
      <c r="BK14" t="s">
        <v>218</v>
      </c>
      <c r="BL14" t="s">
        <v>128</v>
      </c>
      <c r="BM14" t="s">
        <v>216</v>
      </c>
      <c r="BN14">
        <v>6459</v>
      </c>
      <c r="BO14" t="s">
        <v>503</v>
      </c>
      <c r="BP14" t="s">
        <v>520</v>
      </c>
      <c r="BQ14" t="s">
        <v>523</v>
      </c>
      <c r="BR14" t="s">
        <v>524</v>
      </c>
      <c r="BS14" t="s">
        <v>525</v>
      </c>
      <c r="BT14" t="s">
        <v>525</v>
      </c>
      <c r="BU14" t="s">
        <v>536</v>
      </c>
      <c r="BV14" t="s">
        <v>539</v>
      </c>
      <c r="BW14" t="s">
        <v>528</v>
      </c>
      <c r="BX14" t="s">
        <v>538</v>
      </c>
      <c r="BY14" t="s">
        <v>530</v>
      </c>
      <c r="BZ14" t="s">
        <v>525</v>
      </c>
      <c r="CA14" t="s">
        <v>531</v>
      </c>
    </row>
    <row r="15" spans="1:79" x14ac:dyDescent="0.35">
      <c r="A15">
        <v>130794</v>
      </c>
      <c r="B15" t="s">
        <v>501</v>
      </c>
      <c r="C15" t="s">
        <v>501</v>
      </c>
      <c r="D15" t="s">
        <v>499</v>
      </c>
      <c r="E15" t="s">
        <v>500</v>
      </c>
      <c r="F15" t="s">
        <v>499</v>
      </c>
      <c r="G15" t="s">
        <v>501</v>
      </c>
      <c r="H15" t="s">
        <v>521</v>
      </c>
      <c r="I15" t="s">
        <v>499</v>
      </c>
      <c r="J15" t="s">
        <v>502</v>
      </c>
      <c r="K15" t="s">
        <v>501</v>
      </c>
      <c r="L15" t="s">
        <v>499</v>
      </c>
      <c r="M15" t="s">
        <v>501</v>
      </c>
      <c r="N15">
        <v>51803</v>
      </c>
      <c r="O15">
        <v>22003</v>
      </c>
      <c r="P15">
        <v>29799</v>
      </c>
      <c r="R15">
        <v>1</v>
      </c>
      <c r="S15">
        <v>2332</v>
      </c>
      <c r="T15">
        <v>1127</v>
      </c>
      <c r="U15">
        <v>1205</v>
      </c>
      <c r="W15">
        <v>0</v>
      </c>
      <c r="X15">
        <v>1641</v>
      </c>
      <c r="Y15">
        <v>788</v>
      </c>
      <c r="Z15">
        <v>853</v>
      </c>
      <c r="AB15">
        <v>0</v>
      </c>
      <c r="AC15">
        <v>1641</v>
      </c>
      <c r="AD15">
        <v>788</v>
      </c>
      <c r="AE15">
        <v>853</v>
      </c>
      <c r="AG15">
        <v>0</v>
      </c>
      <c r="AM15">
        <v>926</v>
      </c>
      <c r="AN15">
        <v>56</v>
      </c>
      <c r="AO15">
        <v>421</v>
      </c>
      <c r="AP15">
        <v>26</v>
      </c>
      <c r="AQ15">
        <v>740</v>
      </c>
      <c r="AR15">
        <v>760</v>
      </c>
      <c r="AS15">
        <v>780</v>
      </c>
      <c r="AT15">
        <v>760</v>
      </c>
      <c r="AU15">
        <v>780</v>
      </c>
      <c r="AV15">
        <v>800</v>
      </c>
      <c r="AW15">
        <v>33</v>
      </c>
      <c r="AX15">
        <v>34</v>
      </c>
      <c r="AY15">
        <v>35</v>
      </c>
      <c r="AZ15">
        <v>34</v>
      </c>
      <c r="BA15">
        <v>35</v>
      </c>
      <c r="BB15">
        <v>36</v>
      </c>
      <c r="BC15">
        <v>31</v>
      </c>
      <c r="BD15">
        <v>34</v>
      </c>
      <c r="BE15">
        <v>35</v>
      </c>
      <c r="BF15">
        <v>5</v>
      </c>
      <c r="BG15">
        <v>5</v>
      </c>
      <c r="BH15">
        <v>4</v>
      </c>
      <c r="BI15" t="s">
        <v>70</v>
      </c>
      <c r="BJ15" t="s">
        <v>428</v>
      </c>
      <c r="BK15" t="s">
        <v>219</v>
      </c>
      <c r="BL15" t="s">
        <v>130</v>
      </c>
      <c r="BM15" t="s">
        <v>216</v>
      </c>
      <c r="BN15">
        <v>6520</v>
      </c>
      <c r="BO15" t="s">
        <v>503</v>
      </c>
      <c r="BP15" t="s">
        <v>504</v>
      </c>
      <c r="BQ15" t="s">
        <v>505</v>
      </c>
      <c r="BR15" t="s">
        <v>506</v>
      </c>
      <c r="BS15" t="s">
        <v>507</v>
      </c>
      <c r="BT15" t="s">
        <v>508</v>
      </c>
      <c r="BU15" t="s">
        <v>518</v>
      </c>
      <c r="BV15" t="s">
        <v>515</v>
      </c>
      <c r="BW15" t="s">
        <v>528</v>
      </c>
      <c r="BX15" t="s">
        <v>535</v>
      </c>
      <c r="BY15" t="s">
        <v>519</v>
      </c>
      <c r="BZ15" t="s">
        <v>508</v>
      </c>
      <c r="CA15" t="s">
        <v>540</v>
      </c>
    </row>
    <row r="16" spans="1:79" x14ac:dyDescent="0.35">
      <c r="A16">
        <v>131159</v>
      </c>
      <c r="B16" t="s">
        <v>499</v>
      </c>
      <c r="C16" t="s">
        <v>500</v>
      </c>
      <c r="D16" t="s">
        <v>499</v>
      </c>
      <c r="E16" t="s">
        <v>499</v>
      </c>
      <c r="F16" t="s">
        <v>499</v>
      </c>
      <c r="G16" t="s">
        <v>500</v>
      </c>
      <c r="H16" t="s">
        <v>521</v>
      </c>
      <c r="I16" t="s">
        <v>499</v>
      </c>
      <c r="J16" t="s">
        <v>502</v>
      </c>
      <c r="K16" t="s">
        <v>501</v>
      </c>
      <c r="L16" t="s">
        <v>499</v>
      </c>
      <c r="M16" t="s">
        <v>500</v>
      </c>
      <c r="N16">
        <v>17786</v>
      </c>
      <c r="O16">
        <v>5990</v>
      </c>
      <c r="P16">
        <v>11796</v>
      </c>
      <c r="Q16">
        <v>0</v>
      </c>
      <c r="R16">
        <v>0</v>
      </c>
      <c r="S16">
        <v>8427</v>
      </c>
      <c r="T16">
        <v>3096</v>
      </c>
      <c r="U16">
        <v>5331</v>
      </c>
      <c r="W16">
        <v>0</v>
      </c>
      <c r="X16">
        <v>1856</v>
      </c>
      <c r="Y16">
        <v>711</v>
      </c>
      <c r="Z16">
        <v>1145</v>
      </c>
      <c r="AB16">
        <v>0</v>
      </c>
      <c r="AC16">
        <v>1848</v>
      </c>
      <c r="AD16">
        <v>708</v>
      </c>
      <c r="AE16">
        <v>1140</v>
      </c>
      <c r="AG16">
        <v>0</v>
      </c>
      <c r="AH16">
        <v>8</v>
      </c>
      <c r="AI16">
        <v>3</v>
      </c>
      <c r="AJ16">
        <v>5</v>
      </c>
      <c r="AL16">
        <v>0</v>
      </c>
      <c r="AM16">
        <v>479</v>
      </c>
      <c r="AN16">
        <v>26</v>
      </c>
      <c r="AO16">
        <v>298</v>
      </c>
      <c r="AP16">
        <v>16</v>
      </c>
      <c r="AQ16">
        <v>670</v>
      </c>
      <c r="AR16">
        <v>710</v>
      </c>
      <c r="AS16">
        <v>740</v>
      </c>
      <c r="AT16">
        <v>630</v>
      </c>
      <c r="AU16">
        <v>670</v>
      </c>
      <c r="AV16">
        <v>710</v>
      </c>
      <c r="AW16">
        <v>29</v>
      </c>
      <c r="AX16">
        <v>31</v>
      </c>
      <c r="AY16">
        <v>33</v>
      </c>
      <c r="AZ16">
        <v>30</v>
      </c>
      <c r="BA16">
        <v>33</v>
      </c>
      <c r="BB16">
        <v>35</v>
      </c>
      <c r="BC16">
        <v>25</v>
      </c>
      <c r="BD16">
        <v>27</v>
      </c>
      <c r="BE16">
        <v>30</v>
      </c>
      <c r="BF16">
        <v>47</v>
      </c>
      <c r="BG16">
        <v>52</v>
      </c>
      <c r="BH16">
        <v>45</v>
      </c>
      <c r="BI16" t="s">
        <v>0</v>
      </c>
      <c r="BJ16" t="s">
        <v>429</v>
      </c>
      <c r="BK16" t="s">
        <v>220</v>
      </c>
      <c r="BL16" t="s">
        <v>19</v>
      </c>
      <c r="BM16" t="s">
        <v>221</v>
      </c>
      <c r="BN16" t="s">
        <v>222</v>
      </c>
      <c r="BO16" t="s">
        <v>503</v>
      </c>
      <c r="BP16" t="s">
        <v>504</v>
      </c>
      <c r="BQ16" t="s">
        <v>505</v>
      </c>
      <c r="BR16" t="s">
        <v>541</v>
      </c>
      <c r="BS16" t="s">
        <v>542</v>
      </c>
      <c r="BT16" t="s">
        <v>543</v>
      </c>
      <c r="BU16" t="s">
        <v>509</v>
      </c>
      <c r="BV16" t="s">
        <v>510</v>
      </c>
      <c r="BW16" t="s">
        <v>528</v>
      </c>
      <c r="BX16" t="s">
        <v>512</v>
      </c>
      <c r="BY16" t="s">
        <v>519</v>
      </c>
      <c r="BZ16" t="s">
        <v>543</v>
      </c>
      <c r="CA16" t="s">
        <v>540</v>
      </c>
    </row>
    <row r="17" spans="1:79" x14ac:dyDescent="0.35">
      <c r="A17">
        <v>131469</v>
      </c>
      <c r="B17" t="s">
        <v>499</v>
      </c>
      <c r="C17" t="s">
        <v>501</v>
      </c>
      <c r="D17" t="s">
        <v>499</v>
      </c>
      <c r="E17" t="s">
        <v>499</v>
      </c>
      <c r="F17" t="s">
        <v>499</v>
      </c>
      <c r="G17" t="s">
        <v>500</v>
      </c>
      <c r="H17" t="s">
        <v>521</v>
      </c>
      <c r="I17" t="s">
        <v>499</v>
      </c>
      <c r="J17" t="s">
        <v>502</v>
      </c>
      <c r="K17" t="s">
        <v>501</v>
      </c>
      <c r="L17" t="s">
        <v>501</v>
      </c>
      <c r="M17" t="s">
        <v>501</v>
      </c>
      <c r="N17">
        <v>27094</v>
      </c>
      <c r="O17">
        <v>9675</v>
      </c>
      <c r="P17">
        <v>17419</v>
      </c>
      <c r="S17">
        <v>11798</v>
      </c>
      <c r="T17">
        <v>4335</v>
      </c>
      <c r="U17">
        <v>7463</v>
      </c>
      <c r="X17">
        <v>2539</v>
      </c>
      <c r="Y17">
        <v>942</v>
      </c>
      <c r="Z17">
        <v>1597</v>
      </c>
      <c r="AC17">
        <v>2528</v>
      </c>
      <c r="AD17">
        <v>935</v>
      </c>
      <c r="AE17">
        <v>1593</v>
      </c>
      <c r="AH17">
        <v>11</v>
      </c>
      <c r="AI17">
        <v>7</v>
      </c>
      <c r="AJ17">
        <v>4</v>
      </c>
      <c r="AM17">
        <v>770</v>
      </c>
      <c r="AN17">
        <v>30</v>
      </c>
      <c r="AO17">
        <v>310</v>
      </c>
      <c r="AP17">
        <v>12</v>
      </c>
      <c r="AQ17">
        <v>680</v>
      </c>
      <c r="AR17">
        <v>720</v>
      </c>
      <c r="AS17">
        <v>750</v>
      </c>
      <c r="AT17">
        <v>670</v>
      </c>
      <c r="AU17">
        <v>710</v>
      </c>
      <c r="AV17">
        <v>750</v>
      </c>
      <c r="AW17">
        <v>31</v>
      </c>
      <c r="AX17">
        <v>32</v>
      </c>
      <c r="AY17">
        <v>34</v>
      </c>
      <c r="AZ17">
        <v>32</v>
      </c>
      <c r="BA17">
        <v>34</v>
      </c>
      <c r="BB17">
        <v>35</v>
      </c>
      <c r="BC17">
        <v>28</v>
      </c>
      <c r="BD17">
        <v>30</v>
      </c>
      <c r="BE17">
        <v>31</v>
      </c>
      <c r="BF17">
        <v>44</v>
      </c>
      <c r="BG17">
        <v>45</v>
      </c>
      <c r="BH17">
        <v>43</v>
      </c>
      <c r="BI17" t="s">
        <v>55</v>
      </c>
      <c r="BJ17" t="s">
        <v>429</v>
      </c>
      <c r="BK17" t="s">
        <v>223</v>
      </c>
      <c r="BL17" t="s">
        <v>19</v>
      </c>
      <c r="BM17" t="s">
        <v>221</v>
      </c>
      <c r="BN17">
        <v>20052</v>
      </c>
      <c r="BO17" t="s">
        <v>503</v>
      </c>
      <c r="BP17" t="s">
        <v>504</v>
      </c>
      <c r="BQ17" t="s">
        <v>505</v>
      </c>
      <c r="BR17" t="s">
        <v>506</v>
      </c>
      <c r="BS17" t="s">
        <v>507</v>
      </c>
      <c r="BT17" t="s">
        <v>508</v>
      </c>
      <c r="BU17" t="s">
        <v>517</v>
      </c>
      <c r="BV17" t="s">
        <v>515</v>
      </c>
      <c r="BW17" t="s">
        <v>511</v>
      </c>
      <c r="BX17" t="s">
        <v>512</v>
      </c>
      <c r="BY17" t="s">
        <v>519</v>
      </c>
      <c r="BZ17" t="s">
        <v>508</v>
      </c>
      <c r="CA17" t="s">
        <v>514</v>
      </c>
    </row>
    <row r="18" spans="1:79" x14ac:dyDescent="0.35">
      <c r="A18">
        <v>131496</v>
      </c>
      <c r="B18" t="s">
        <v>499</v>
      </c>
      <c r="C18" t="s">
        <v>501</v>
      </c>
      <c r="D18" t="s">
        <v>499</v>
      </c>
      <c r="E18" t="s">
        <v>501</v>
      </c>
      <c r="F18" t="s">
        <v>499</v>
      </c>
      <c r="G18" t="s">
        <v>501</v>
      </c>
      <c r="H18" t="s">
        <v>499</v>
      </c>
      <c r="I18" t="s">
        <v>521</v>
      </c>
      <c r="J18" t="s">
        <v>502</v>
      </c>
      <c r="K18" t="s">
        <v>501</v>
      </c>
      <c r="L18" t="s">
        <v>499</v>
      </c>
      <c r="M18" t="s">
        <v>501</v>
      </c>
      <c r="N18">
        <v>25485</v>
      </c>
      <c r="O18">
        <v>9894</v>
      </c>
      <c r="P18">
        <v>15239</v>
      </c>
      <c r="R18">
        <v>352</v>
      </c>
      <c r="S18">
        <v>3334</v>
      </c>
      <c r="T18">
        <v>1328</v>
      </c>
      <c r="U18">
        <v>1971</v>
      </c>
      <c r="W18">
        <v>35</v>
      </c>
      <c r="X18">
        <v>1599</v>
      </c>
      <c r="Y18">
        <v>618</v>
      </c>
      <c r="Z18">
        <v>968</v>
      </c>
      <c r="AB18">
        <v>13</v>
      </c>
      <c r="AC18">
        <v>1598</v>
      </c>
      <c r="AD18">
        <v>617</v>
      </c>
      <c r="AE18">
        <v>968</v>
      </c>
      <c r="AG18">
        <v>13</v>
      </c>
      <c r="AH18">
        <v>1</v>
      </c>
      <c r="AI18">
        <v>1</v>
      </c>
      <c r="AJ18">
        <v>0</v>
      </c>
      <c r="AL18">
        <v>0</v>
      </c>
      <c r="AM18">
        <v>1200</v>
      </c>
      <c r="AN18">
        <v>75</v>
      </c>
      <c r="AO18">
        <v>535</v>
      </c>
      <c r="AP18">
        <v>33</v>
      </c>
      <c r="AQ18">
        <v>700</v>
      </c>
      <c r="AR18">
        <v>740</v>
      </c>
      <c r="AS18">
        <v>770</v>
      </c>
      <c r="AT18">
        <v>690</v>
      </c>
      <c r="AU18">
        <v>760</v>
      </c>
      <c r="AV18">
        <v>780</v>
      </c>
      <c r="AW18">
        <v>32</v>
      </c>
      <c r="AX18">
        <v>33</v>
      </c>
      <c r="AY18">
        <v>34</v>
      </c>
      <c r="AZ18">
        <v>34</v>
      </c>
      <c r="BA18">
        <v>35</v>
      </c>
      <c r="BB18">
        <v>35</v>
      </c>
      <c r="BC18">
        <v>29</v>
      </c>
      <c r="BD18">
        <v>32</v>
      </c>
      <c r="BE18">
        <v>35</v>
      </c>
      <c r="BF18">
        <v>13</v>
      </c>
      <c r="BG18">
        <v>13</v>
      </c>
      <c r="BH18">
        <v>13</v>
      </c>
      <c r="BI18" t="s">
        <v>57</v>
      </c>
      <c r="BJ18" t="s">
        <v>429</v>
      </c>
      <c r="BK18" t="s">
        <v>224</v>
      </c>
      <c r="BL18" t="s">
        <v>19</v>
      </c>
      <c r="BM18" t="s">
        <v>221</v>
      </c>
      <c r="BN18" t="s">
        <v>225</v>
      </c>
      <c r="BO18" t="s">
        <v>503</v>
      </c>
      <c r="BP18" t="s">
        <v>504</v>
      </c>
      <c r="BQ18" t="s">
        <v>505</v>
      </c>
      <c r="BR18" t="s">
        <v>506</v>
      </c>
      <c r="BS18" t="s">
        <v>507</v>
      </c>
      <c r="BT18" t="s">
        <v>508</v>
      </c>
      <c r="BU18" t="s">
        <v>509</v>
      </c>
      <c r="BV18" t="s">
        <v>515</v>
      </c>
      <c r="BW18" t="s">
        <v>528</v>
      </c>
      <c r="BX18" t="s">
        <v>535</v>
      </c>
      <c r="BY18" t="s">
        <v>519</v>
      </c>
      <c r="BZ18" t="s">
        <v>508</v>
      </c>
      <c r="CA18" t="s">
        <v>514</v>
      </c>
    </row>
    <row r="19" spans="1:79" x14ac:dyDescent="0.35">
      <c r="A19">
        <v>131520</v>
      </c>
      <c r="B19" t="s">
        <v>499</v>
      </c>
      <c r="C19" t="s">
        <v>501</v>
      </c>
      <c r="D19" t="s">
        <v>499</v>
      </c>
      <c r="E19" t="s">
        <v>499</v>
      </c>
      <c r="F19" t="s">
        <v>499</v>
      </c>
      <c r="G19" t="s">
        <v>501</v>
      </c>
      <c r="H19" t="s">
        <v>521</v>
      </c>
      <c r="I19" t="s">
        <v>499</v>
      </c>
      <c r="J19" t="s">
        <v>502</v>
      </c>
      <c r="K19" t="s">
        <v>501</v>
      </c>
      <c r="L19" t="s">
        <v>499</v>
      </c>
      <c r="M19" t="s">
        <v>501</v>
      </c>
      <c r="N19">
        <v>30342</v>
      </c>
      <c r="O19">
        <v>8864</v>
      </c>
      <c r="P19">
        <v>21478</v>
      </c>
      <c r="S19">
        <v>10587</v>
      </c>
      <c r="T19">
        <v>2870</v>
      </c>
      <c r="U19">
        <v>7717</v>
      </c>
      <c r="X19">
        <v>2268</v>
      </c>
      <c r="Y19">
        <v>560</v>
      </c>
      <c r="Z19">
        <v>1708</v>
      </c>
      <c r="AC19">
        <v>2261</v>
      </c>
      <c r="AD19">
        <v>557</v>
      </c>
      <c r="AE19">
        <v>1704</v>
      </c>
      <c r="AH19">
        <v>7</v>
      </c>
      <c r="AI19">
        <v>3</v>
      </c>
      <c r="AJ19">
        <v>4</v>
      </c>
      <c r="AM19">
        <v>606</v>
      </c>
      <c r="AN19">
        <v>27</v>
      </c>
      <c r="AO19">
        <v>227</v>
      </c>
      <c r="AP19">
        <v>10</v>
      </c>
      <c r="AQ19">
        <v>560</v>
      </c>
      <c r="AR19">
        <v>620</v>
      </c>
      <c r="AS19">
        <v>660</v>
      </c>
      <c r="AT19">
        <v>540</v>
      </c>
      <c r="AU19">
        <v>580</v>
      </c>
      <c r="AV19">
        <v>638</v>
      </c>
      <c r="AW19">
        <v>22</v>
      </c>
      <c r="AX19">
        <v>25</v>
      </c>
      <c r="AY19">
        <v>28</v>
      </c>
      <c r="AZ19">
        <v>23</v>
      </c>
      <c r="BA19">
        <v>25</v>
      </c>
      <c r="BB19">
        <v>30</v>
      </c>
      <c r="BC19">
        <v>21</v>
      </c>
      <c r="BD19">
        <v>24</v>
      </c>
      <c r="BE19">
        <v>26</v>
      </c>
      <c r="BF19">
        <v>35</v>
      </c>
      <c r="BG19">
        <v>32</v>
      </c>
      <c r="BH19">
        <v>36</v>
      </c>
      <c r="BI19" t="s">
        <v>60</v>
      </c>
      <c r="BJ19" t="s">
        <v>429</v>
      </c>
      <c r="BK19" t="s">
        <v>226</v>
      </c>
      <c r="BL19" t="s">
        <v>19</v>
      </c>
      <c r="BM19" t="s">
        <v>221</v>
      </c>
      <c r="BN19">
        <v>20059</v>
      </c>
      <c r="BO19" t="s">
        <v>503</v>
      </c>
      <c r="BP19" t="s">
        <v>504</v>
      </c>
      <c r="BQ19" t="s">
        <v>505</v>
      </c>
      <c r="BR19" t="s">
        <v>544</v>
      </c>
      <c r="BS19" t="s">
        <v>542</v>
      </c>
      <c r="BT19" t="s">
        <v>543</v>
      </c>
      <c r="BU19" t="s">
        <v>517</v>
      </c>
      <c r="BV19" t="s">
        <v>515</v>
      </c>
      <c r="BW19" t="s">
        <v>545</v>
      </c>
      <c r="BX19" t="s">
        <v>512</v>
      </c>
      <c r="BY19" t="s">
        <v>519</v>
      </c>
      <c r="BZ19" t="s">
        <v>543</v>
      </c>
      <c r="CA19" t="s">
        <v>540</v>
      </c>
    </row>
    <row r="20" spans="1:79" x14ac:dyDescent="0.35">
      <c r="A20">
        <v>135726</v>
      </c>
      <c r="B20" t="s">
        <v>499</v>
      </c>
      <c r="C20" t="s">
        <v>501</v>
      </c>
      <c r="D20" t="s">
        <v>499</v>
      </c>
      <c r="E20" t="s">
        <v>501</v>
      </c>
      <c r="F20" t="s">
        <v>499</v>
      </c>
      <c r="G20" t="s">
        <v>501</v>
      </c>
      <c r="H20" t="s">
        <v>521</v>
      </c>
      <c r="I20" t="s">
        <v>499</v>
      </c>
      <c r="J20" t="s">
        <v>502</v>
      </c>
      <c r="K20" t="s">
        <v>501</v>
      </c>
      <c r="L20" t="s">
        <v>499</v>
      </c>
      <c r="M20" t="s">
        <v>500</v>
      </c>
      <c r="N20">
        <v>48286</v>
      </c>
      <c r="O20">
        <v>19817</v>
      </c>
      <c r="P20">
        <v>28469</v>
      </c>
      <c r="Q20">
        <v>0</v>
      </c>
      <c r="R20">
        <v>0</v>
      </c>
      <c r="S20">
        <v>8940</v>
      </c>
      <c r="T20">
        <v>4330</v>
      </c>
      <c r="U20">
        <v>4610</v>
      </c>
      <c r="W20">
        <v>0</v>
      </c>
      <c r="X20">
        <v>2328</v>
      </c>
      <c r="Y20">
        <v>1041</v>
      </c>
      <c r="Z20">
        <v>1287</v>
      </c>
      <c r="AB20">
        <v>0</v>
      </c>
      <c r="AC20">
        <v>2328</v>
      </c>
      <c r="AD20">
        <v>1041</v>
      </c>
      <c r="AE20">
        <v>1287</v>
      </c>
      <c r="AG20">
        <v>0</v>
      </c>
      <c r="AH20">
        <v>0</v>
      </c>
      <c r="AI20">
        <v>0</v>
      </c>
      <c r="AJ20">
        <v>0</v>
      </c>
      <c r="AL20">
        <v>0</v>
      </c>
      <c r="AM20">
        <v>735</v>
      </c>
      <c r="AN20">
        <v>32</v>
      </c>
      <c r="AO20">
        <v>491</v>
      </c>
      <c r="AP20">
        <v>21</v>
      </c>
      <c r="AQ20">
        <v>660</v>
      </c>
      <c r="AR20">
        <v>690</v>
      </c>
      <c r="AS20">
        <v>720</v>
      </c>
      <c r="AT20">
        <v>670</v>
      </c>
      <c r="AU20">
        <v>710</v>
      </c>
      <c r="AV20">
        <v>750</v>
      </c>
      <c r="AW20">
        <v>30</v>
      </c>
      <c r="AX20">
        <v>32</v>
      </c>
      <c r="AY20">
        <v>33</v>
      </c>
      <c r="AZ20">
        <v>31</v>
      </c>
      <c r="BA20">
        <v>33</v>
      </c>
      <c r="BB20">
        <v>35</v>
      </c>
      <c r="BC20">
        <v>27</v>
      </c>
      <c r="BD20">
        <v>29</v>
      </c>
      <c r="BE20">
        <v>32</v>
      </c>
      <c r="BF20">
        <v>19</v>
      </c>
      <c r="BG20">
        <v>22</v>
      </c>
      <c r="BH20">
        <v>16</v>
      </c>
      <c r="BI20" t="s">
        <v>13</v>
      </c>
      <c r="BJ20" t="s">
        <v>430</v>
      </c>
      <c r="BK20" t="s">
        <v>13</v>
      </c>
      <c r="BL20" t="s">
        <v>119</v>
      </c>
      <c r="BM20" t="s">
        <v>227</v>
      </c>
      <c r="BN20">
        <v>33146</v>
      </c>
      <c r="BO20" t="s">
        <v>503</v>
      </c>
      <c r="BP20" t="s">
        <v>504</v>
      </c>
      <c r="BQ20" t="s">
        <v>505</v>
      </c>
      <c r="BR20" t="s">
        <v>506</v>
      </c>
      <c r="BS20" t="s">
        <v>507</v>
      </c>
      <c r="BT20" t="s">
        <v>508</v>
      </c>
      <c r="BU20" t="s">
        <v>517</v>
      </c>
      <c r="BV20" t="s">
        <v>515</v>
      </c>
      <c r="BW20" t="s">
        <v>511</v>
      </c>
      <c r="BX20" t="s">
        <v>512</v>
      </c>
      <c r="BY20" t="s">
        <v>513</v>
      </c>
      <c r="BZ20" t="s">
        <v>508</v>
      </c>
      <c r="CA20" t="s">
        <v>540</v>
      </c>
    </row>
    <row r="21" spans="1:79" x14ac:dyDescent="0.35">
      <c r="A21">
        <v>139658</v>
      </c>
      <c r="B21" t="s">
        <v>500</v>
      </c>
      <c r="C21" t="s">
        <v>501</v>
      </c>
      <c r="D21" t="s">
        <v>499</v>
      </c>
      <c r="E21" t="s">
        <v>501</v>
      </c>
      <c r="F21" t="s">
        <v>501</v>
      </c>
      <c r="G21" t="s">
        <v>501</v>
      </c>
      <c r="H21" t="s">
        <v>521</v>
      </c>
      <c r="I21" t="s">
        <v>521</v>
      </c>
      <c r="J21" t="s">
        <v>502</v>
      </c>
      <c r="K21" t="s">
        <v>501</v>
      </c>
      <c r="L21" t="s">
        <v>499</v>
      </c>
      <c r="M21" t="s">
        <v>501</v>
      </c>
      <c r="N21">
        <v>31929</v>
      </c>
      <c r="O21">
        <v>12622</v>
      </c>
      <c r="P21">
        <v>19307</v>
      </c>
      <c r="R21">
        <v>0</v>
      </c>
      <c r="S21">
        <v>3543</v>
      </c>
      <c r="T21">
        <v>1586</v>
      </c>
      <c r="U21">
        <v>1957</v>
      </c>
      <c r="W21">
        <v>0</v>
      </c>
      <c r="X21">
        <v>1426</v>
      </c>
      <c r="Y21">
        <v>637</v>
      </c>
      <c r="Z21">
        <v>789</v>
      </c>
      <c r="AB21">
        <v>0</v>
      </c>
      <c r="AC21">
        <v>1425</v>
      </c>
      <c r="AD21">
        <v>636</v>
      </c>
      <c r="AE21">
        <v>789</v>
      </c>
      <c r="AG21">
        <v>0</v>
      </c>
      <c r="AH21">
        <v>1</v>
      </c>
      <c r="AI21">
        <v>1</v>
      </c>
      <c r="AJ21">
        <v>0</v>
      </c>
      <c r="AL21">
        <v>0</v>
      </c>
      <c r="AM21">
        <v>601</v>
      </c>
      <c r="AN21">
        <v>42</v>
      </c>
      <c r="AO21">
        <v>277</v>
      </c>
      <c r="AP21">
        <v>19</v>
      </c>
      <c r="AQ21">
        <v>710</v>
      </c>
      <c r="AR21">
        <v>740</v>
      </c>
      <c r="AS21">
        <v>760</v>
      </c>
      <c r="AT21">
        <v>750</v>
      </c>
      <c r="AU21">
        <v>780</v>
      </c>
      <c r="AV21">
        <v>790</v>
      </c>
      <c r="AW21">
        <v>32</v>
      </c>
      <c r="AX21">
        <v>33</v>
      </c>
      <c r="AY21">
        <v>34</v>
      </c>
      <c r="BF21">
        <v>11</v>
      </c>
      <c r="BG21">
        <v>13</v>
      </c>
      <c r="BH21">
        <v>10</v>
      </c>
      <c r="BI21" t="s">
        <v>54</v>
      </c>
      <c r="BJ21" t="s">
        <v>429</v>
      </c>
      <c r="BK21" t="s">
        <v>228</v>
      </c>
      <c r="BL21" t="s">
        <v>97</v>
      </c>
      <c r="BM21" t="s">
        <v>229</v>
      </c>
      <c r="BN21">
        <v>30322</v>
      </c>
      <c r="BO21" t="s">
        <v>503</v>
      </c>
      <c r="BP21" t="s">
        <v>504</v>
      </c>
      <c r="BQ21" t="s">
        <v>505</v>
      </c>
      <c r="BR21" t="s">
        <v>506</v>
      </c>
      <c r="BS21" t="s">
        <v>507</v>
      </c>
      <c r="BT21" t="s">
        <v>508</v>
      </c>
      <c r="BU21" t="s">
        <v>546</v>
      </c>
      <c r="BV21" t="s">
        <v>515</v>
      </c>
      <c r="BW21" t="s">
        <v>511</v>
      </c>
      <c r="BX21" t="s">
        <v>512</v>
      </c>
      <c r="BY21" t="s">
        <v>519</v>
      </c>
      <c r="BZ21" t="s">
        <v>508</v>
      </c>
      <c r="CA21" t="s">
        <v>540</v>
      </c>
    </row>
    <row r="22" spans="1:79" x14ac:dyDescent="0.35">
      <c r="A22">
        <v>144050</v>
      </c>
      <c r="B22" t="s">
        <v>501</v>
      </c>
      <c r="C22" t="s">
        <v>501</v>
      </c>
      <c r="D22" t="s">
        <v>499</v>
      </c>
      <c r="E22" t="s">
        <v>499</v>
      </c>
      <c r="F22" t="s">
        <v>499</v>
      </c>
      <c r="G22" t="s">
        <v>501</v>
      </c>
      <c r="H22" t="s">
        <v>521</v>
      </c>
      <c r="I22" t="s">
        <v>521</v>
      </c>
      <c r="J22" t="s">
        <v>502</v>
      </c>
      <c r="K22" t="s">
        <v>501</v>
      </c>
      <c r="L22" t="s">
        <v>499</v>
      </c>
      <c r="M22" t="s">
        <v>501</v>
      </c>
      <c r="N22">
        <v>38631</v>
      </c>
      <c r="O22">
        <v>17373</v>
      </c>
      <c r="P22">
        <v>21249</v>
      </c>
      <c r="Q22">
        <v>9</v>
      </c>
      <c r="R22">
        <v>0</v>
      </c>
      <c r="S22">
        <v>1849</v>
      </c>
      <c r="T22">
        <v>994</v>
      </c>
      <c r="U22">
        <v>855</v>
      </c>
      <c r="V22">
        <v>0</v>
      </c>
      <c r="W22">
        <v>0</v>
      </c>
      <c r="X22">
        <v>1626</v>
      </c>
      <c r="Y22">
        <v>885</v>
      </c>
      <c r="Z22">
        <v>741</v>
      </c>
      <c r="AB22">
        <v>0</v>
      </c>
      <c r="AC22">
        <v>1626</v>
      </c>
      <c r="AD22">
        <v>885</v>
      </c>
      <c r="AE22">
        <v>741</v>
      </c>
      <c r="AG22">
        <v>0</v>
      </c>
      <c r="AM22">
        <v>755</v>
      </c>
      <c r="AN22">
        <v>46</v>
      </c>
      <c r="AO22">
        <v>481</v>
      </c>
      <c r="AP22">
        <v>30</v>
      </c>
      <c r="AQ22">
        <v>740</v>
      </c>
      <c r="AR22">
        <v>760</v>
      </c>
      <c r="AS22">
        <v>770</v>
      </c>
      <c r="AT22">
        <v>770</v>
      </c>
      <c r="AU22">
        <v>790</v>
      </c>
      <c r="AV22">
        <v>800</v>
      </c>
      <c r="AW22">
        <v>34</v>
      </c>
      <c r="AX22">
        <v>35</v>
      </c>
      <c r="AY22">
        <v>35</v>
      </c>
      <c r="AZ22">
        <v>34</v>
      </c>
      <c r="BA22">
        <v>35</v>
      </c>
      <c r="BB22">
        <v>36</v>
      </c>
      <c r="BC22">
        <v>32</v>
      </c>
      <c r="BD22">
        <v>34</v>
      </c>
      <c r="BE22">
        <v>35</v>
      </c>
      <c r="BF22">
        <v>5</v>
      </c>
      <c r="BG22">
        <v>6</v>
      </c>
      <c r="BH22">
        <v>4</v>
      </c>
      <c r="BI22" t="s">
        <v>12</v>
      </c>
      <c r="BJ22" t="s">
        <v>429</v>
      </c>
      <c r="BK22" t="s">
        <v>230</v>
      </c>
      <c r="BL22" t="s">
        <v>118</v>
      </c>
      <c r="BM22" t="s">
        <v>231</v>
      </c>
      <c r="BN22">
        <v>60637</v>
      </c>
      <c r="BO22" t="s">
        <v>503</v>
      </c>
      <c r="BP22" t="s">
        <v>504</v>
      </c>
      <c r="BQ22" t="s">
        <v>505</v>
      </c>
      <c r="BR22" t="s">
        <v>506</v>
      </c>
      <c r="BS22" t="s">
        <v>507</v>
      </c>
      <c r="BT22" t="s">
        <v>508</v>
      </c>
      <c r="BU22" t="s">
        <v>518</v>
      </c>
      <c r="BV22" t="s">
        <v>515</v>
      </c>
      <c r="BW22" t="s">
        <v>528</v>
      </c>
      <c r="BX22" t="s">
        <v>535</v>
      </c>
      <c r="BY22" t="s">
        <v>519</v>
      </c>
      <c r="BZ22" t="s">
        <v>508</v>
      </c>
      <c r="CA22" t="s">
        <v>540</v>
      </c>
    </row>
    <row r="23" spans="1:79" x14ac:dyDescent="0.35">
      <c r="A23">
        <v>145637</v>
      </c>
      <c r="B23" t="s">
        <v>500</v>
      </c>
      <c r="C23" t="s">
        <v>500</v>
      </c>
      <c r="D23" t="s">
        <v>499</v>
      </c>
      <c r="E23" t="s">
        <v>499</v>
      </c>
      <c r="F23" t="s">
        <v>500</v>
      </c>
      <c r="G23" t="s">
        <v>500</v>
      </c>
      <c r="H23" t="s">
        <v>521</v>
      </c>
      <c r="I23" t="s">
        <v>499</v>
      </c>
      <c r="J23" t="s">
        <v>502</v>
      </c>
      <c r="K23" t="s">
        <v>501</v>
      </c>
      <c r="L23" t="s">
        <v>499</v>
      </c>
      <c r="M23" t="s">
        <v>500</v>
      </c>
      <c r="N23">
        <v>67398</v>
      </c>
      <c r="O23">
        <v>38395</v>
      </c>
      <c r="P23">
        <v>28989</v>
      </c>
      <c r="R23">
        <v>14</v>
      </c>
      <c r="S23">
        <v>29446</v>
      </c>
      <c r="T23">
        <v>14192</v>
      </c>
      <c r="U23">
        <v>15248</v>
      </c>
      <c r="W23">
        <v>6</v>
      </c>
      <c r="X23">
        <v>8325</v>
      </c>
      <c r="Y23">
        <v>4198</v>
      </c>
      <c r="Z23">
        <v>4126</v>
      </c>
      <c r="AB23">
        <v>1</v>
      </c>
      <c r="AC23">
        <v>8316</v>
      </c>
      <c r="AD23">
        <v>4190</v>
      </c>
      <c r="AE23">
        <v>4125</v>
      </c>
      <c r="AG23">
        <v>1</v>
      </c>
      <c r="AH23">
        <v>9</v>
      </c>
      <c r="AI23">
        <v>8</v>
      </c>
      <c r="AJ23">
        <v>1</v>
      </c>
      <c r="AL23">
        <v>0</v>
      </c>
      <c r="AM23">
        <v>3950</v>
      </c>
      <c r="AN23">
        <v>47</v>
      </c>
      <c r="AO23">
        <v>1477</v>
      </c>
      <c r="AP23">
        <v>18</v>
      </c>
      <c r="AQ23">
        <v>630</v>
      </c>
      <c r="AR23">
        <v>690</v>
      </c>
      <c r="AS23">
        <v>730</v>
      </c>
      <c r="AT23">
        <v>640</v>
      </c>
      <c r="AU23">
        <v>720</v>
      </c>
      <c r="AV23">
        <v>780</v>
      </c>
      <c r="AW23">
        <v>29</v>
      </c>
      <c r="AX23">
        <v>32</v>
      </c>
      <c r="AY23">
        <v>34</v>
      </c>
      <c r="AZ23">
        <v>28</v>
      </c>
      <c r="BA23">
        <v>33</v>
      </c>
      <c r="BB23">
        <v>35</v>
      </c>
      <c r="BC23">
        <v>27</v>
      </c>
      <c r="BD23">
        <v>30</v>
      </c>
      <c r="BE23">
        <v>34</v>
      </c>
      <c r="BF23">
        <v>44</v>
      </c>
      <c r="BG23">
        <v>37</v>
      </c>
      <c r="BH23">
        <v>53</v>
      </c>
      <c r="BI23" t="s">
        <v>143</v>
      </c>
      <c r="BJ23" t="s">
        <v>431</v>
      </c>
      <c r="BK23" t="s">
        <v>355</v>
      </c>
      <c r="BL23" t="s">
        <v>356</v>
      </c>
      <c r="BM23" t="s">
        <v>231</v>
      </c>
      <c r="BN23" t="s">
        <v>357</v>
      </c>
      <c r="BO23" t="s">
        <v>503</v>
      </c>
      <c r="BP23" t="s">
        <v>504</v>
      </c>
      <c r="BQ23" t="s">
        <v>505</v>
      </c>
      <c r="BR23" t="s">
        <v>506</v>
      </c>
      <c r="BS23" t="s">
        <v>507</v>
      </c>
      <c r="BT23" t="s">
        <v>508</v>
      </c>
      <c r="BU23" t="s">
        <v>517</v>
      </c>
      <c r="BV23" t="s">
        <v>515</v>
      </c>
      <c r="BW23" t="s">
        <v>528</v>
      </c>
      <c r="BX23" t="s">
        <v>512</v>
      </c>
      <c r="BY23" t="s">
        <v>513</v>
      </c>
      <c r="BZ23" t="s">
        <v>508</v>
      </c>
      <c r="CA23" t="s">
        <v>514</v>
      </c>
    </row>
    <row r="24" spans="1:79" x14ac:dyDescent="0.35">
      <c r="A24">
        <v>147767</v>
      </c>
      <c r="B24" t="s">
        <v>501</v>
      </c>
      <c r="C24" t="s">
        <v>501</v>
      </c>
      <c r="D24" t="s">
        <v>499</v>
      </c>
      <c r="E24" t="s">
        <v>499</v>
      </c>
      <c r="F24" t="s">
        <v>499</v>
      </c>
      <c r="G24" t="s">
        <v>500</v>
      </c>
      <c r="H24" t="s">
        <v>521</v>
      </c>
      <c r="I24" t="s">
        <v>499</v>
      </c>
      <c r="J24" t="s">
        <v>502</v>
      </c>
      <c r="K24" t="s">
        <v>501</v>
      </c>
      <c r="L24" t="s">
        <v>499</v>
      </c>
      <c r="M24" t="s">
        <v>501</v>
      </c>
      <c r="N24">
        <v>51769</v>
      </c>
      <c r="O24">
        <v>24511</v>
      </c>
      <c r="P24">
        <v>27258</v>
      </c>
      <c r="Q24">
        <v>0</v>
      </c>
      <c r="R24">
        <v>0</v>
      </c>
      <c r="S24">
        <v>3703</v>
      </c>
      <c r="T24">
        <v>1705</v>
      </c>
      <c r="U24">
        <v>1998</v>
      </c>
      <c r="W24">
        <v>0</v>
      </c>
      <c r="X24">
        <v>2111</v>
      </c>
      <c r="Y24">
        <v>965</v>
      </c>
      <c r="Z24">
        <v>1146</v>
      </c>
      <c r="AB24">
        <v>0</v>
      </c>
      <c r="AC24">
        <v>2111</v>
      </c>
      <c r="AD24">
        <v>965</v>
      </c>
      <c r="AE24">
        <v>1146</v>
      </c>
      <c r="AG24">
        <v>0</v>
      </c>
      <c r="AM24">
        <v>1063</v>
      </c>
      <c r="AN24">
        <v>50</v>
      </c>
      <c r="AO24">
        <v>614</v>
      </c>
      <c r="AP24">
        <v>29</v>
      </c>
      <c r="AQ24">
        <v>730</v>
      </c>
      <c r="AR24">
        <v>750</v>
      </c>
      <c r="AS24">
        <v>770</v>
      </c>
      <c r="AT24">
        <v>760</v>
      </c>
      <c r="AU24">
        <v>780</v>
      </c>
      <c r="AV24">
        <v>790</v>
      </c>
      <c r="AW24">
        <v>33</v>
      </c>
      <c r="AX24">
        <v>34</v>
      </c>
      <c r="AY24">
        <v>35</v>
      </c>
      <c r="AZ24">
        <v>34</v>
      </c>
      <c r="BA24">
        <v>35</v>
      </c>
      <c r="BB24">
        <v>36</v>
      </c>
      <c r="BC24">
        <v>31</v>
      </c>
      <c r="BD24">
        <v>34</v>
      </c>
      <c r="BE24">
        <v>35</v>
      </c>
      <c r="BF24">
        <v>7</v>
      </c>
      <c r="BG24">
        <v>7</v>
      </c>
      <c r="BH24">
        <v>7</v>
      </c>
      <c r="BI24" t="s">
        <v>74</v>
      </c>
      <c r="BJ24" t="s">
        <v>431</v>
      </c>
      <c r="BK24" t="s">
        <v>232</v>
      </c>
      <c r="BL24" t="s">
        <v>104</v>
      </c>
      <c r="BM24" t="s">
        <v>231</v>
      </c>
      <c r="BN24">
        <v>60208</v>
      </c>
      <c r="BO24" t="s">
        <v>503</v>
      </c>
      <c r="BP24" t="s">
        <v>504</v>
      </c>
      <c r="BQ24" t="s">
        <v>505</v>
      </c>
      <c r="BR24" t="s">
        <v>506</v>
      </c>
      <c r="BS24" t="s">
        <v>507</v>
      </c>
      <c r="BT24" t="s">
        <v>508</v>
      </c>
      <c r="BU24" t="s">
        <v>509</v>
      </c>
      <c r="BV24" t="s">
        <v>515</v>
      </c>
      <c r="BW24" t="s">
        <v>528</v>
      </c>
      <c r="BX24" t="s">
        <v>535</v>
      </c>
      <c r="BY24" t="s">
        <v>513</v>
      </c>
      <c r="BZ24" t="s">
        <v>508</v>
      </c>
      <c r="CA24" t="s">
        <v>514</v>
      </c>
    </row>
    <row r="25" spans="1:79" x14ac:dyDescent="0.35">
      <c r="A25">
        <v>151342</v>
      </c>
      <c r="B25" t="s">
        <v>501</v>
      </c>
      <c r="C25" t="s">
        <v>500</v>
      </c>
      <c r="D25" t="s">
        <v>499</v>
      </c>
      <c r="E25" t="s">
        <v>499</v>
      </c>
      <c r="F25" t="s">
        <v>501</v>
      </c>
      <c r="G25" t="s">
        <v>500</v>
      </c>
      <c r="H25" t="s">
        <v>521</v>
      </c>
      <c r="I25" t="s">
        <v>499</v>
      </c>
      <c r="J25" t="s">
        <v>502</v>
      </c>
      <c r="K25" t="s">
        <v>500</v>
      </c>
      <c r="L25" t="s">
        <v>500</v>
      </c>
      <c r="M25" t="s">
        <v>500</v>
      </c>
      <c r="N25">
        <v>2777</v>
      </c>
      <c r="O25">
        <v>914</v>
      </c>
      <c r="P25">
        <v>1861</v>
      </c>
      <c r="S25">
        <v>2388</v>
      </c>
      <c r="T25">
        <v>763</v>
      </c>
      <c r="U25">
        <v>1623</v>
      </c>
      <c r="X25">
        <v>886</v>
      </c>
      <c r="Y25">
        <v>321</v>
      </c>
      <c r="Z25">
        <v>565</v>
      </c>
      <c r="AC25">
        <v>810</v>
      </c>
      <c r="AD25">
        <v>301</v>
      </c>
      <c r="AE25">
        <v>509</v>
      </c>
      <c r="AH25">
        <v>76</v>
      </c>
      <c r="AI25">
        <v>20</v>
      </c>
      <c r="AJ25">
        <v>56</v>
      </c>
      <c r="AM25">
        <v>243</v>
      </c>
      <c r="AN25">
        <v>27</v>
      </c>
      <c r="AO25">
        <v>11</v>
      </c>
      <c r="AP25">
        <v>1</v>
      </c>
      <c r="AQ25">
        <v>490</v>
      </c>
      <c r="AR25">
        <v>540</v>
      </c>
      <c r="AS25">
        <v>590</v>
      </c>
      <c r="AT25">
        <v>480</v>
      </c>
      <c r="AU25">
        <v>530</v>
      </c>
      <c r="AV25">
        <v>580</v>
      </c>
      <c r="AW25">
        <v>21</v>
      </c>
      <c r="AX25">
        <v>22</v>
      </c>
      <c r="AY25">
        <v>25</v>
      </c>
      <c r="AZ25">
        <v>21</v>
      </c>
      <c r="BA25">
        <v>22</v>
      </c>
      <c r="BB25">
        <v>26</v>
      </c>
      <c r="BC25">
        <v>19</v>
      </c>
      <c r="BD25">
        <v>21</v>
      </c>
      <c r="BE25">
        <v>25</v>
      </c>
      <c r="BF25">
        <v>86</v>
      </c>
      <c r="BG25">
        <v>83</v>
      </c>
      <c r="BH25">
        <v>87</v>
      </c>
      <c r="BI25" t="s">
        <v>144</v>
      </c>
      <c r="BJ25" t="s">
        <v>428</v>
      </c>
      <c r="BK25" t="s">
        <v>233</v>
      </c>
      <c r="BL25" t="s">
        <v>234</v>
      </c>
      <c r="BM25" t="s">
        <v>235</v>
      </c>
      <c r="BN25" t="s">
        <v>236</v>
      </c>
      <c r="BO25" t="s">
        <v>503</v>
      </c>
      <c r="BP25" t="s">
        <v>522</v>
      </c>
      <c r="BQ25" t="s">
        <v>547</v>
      </c>
      <c r="BR25" t="s">
        <v>548</v>
      </c>
      <c r="BS25" t="s">
        <v>549</v>
      </c>
      <c r="BT25" t="s">
        <v>549</v>
      </c>
      <c r="BU25" t="s">
        <v>550</v>
      </c>
      <c r="BV25" t="s">
        <v>551</v>
      </c>
      <c r="BW25" t="s">
        <v>552</v>
      </c>
      <c r="BX25" t="s">
        <v>538</v>
      </c>
      <c r="BY25" t="s">
        <v>553</v>
      </c>
      <c r="BZ25" t="s">
        <v>549</v>
      </c>
      <c r="CA25" t="s">
        <v>531</v>
      </c>
    </row>
    <row r="26" spans="1:79" x14ac:dyDescent="0.35">
      <c r="A26">
        <v>151351</v>
      </c>
      <c r="B26" t="s">
        <v>499</v>
      </c>
      <c r="C26" t="s">
        <v>499</v>
      </c>
      <c r="D26" t="s">
        <v>499</v>
      </c>
      <c r="E26" t="s">
        <v>499</v>
      </c>
      <c r="F26" t="s">
        <v>501</v>
      </c>
      <c r="G26" t="s">
        <v>500</v>
      </c>
      <c r="H26" t="s">
        <v>521</v>
      </c>
      <c r="I26" t="s">
        <v>499</v>
      </c>
      <c r="J26" t="s">
        <v>502</v>
      </c>
      <c r="K26" t="s">
        <v>501</v>
      </c>
      <c r="L26" t="s">
        <v>499</v>
      </c>
      <c r="M26" t="s">
        <v>500</v>
      </c>
      <c r="N26">
        <v>54279</v>
      </c>
      <c r="O26">
        <v>26183</v>
      </c>
      <c r="P26">
        <v>28089</v>
      </c>
      <c r="S26">
        <v>43624</v>
      </c>
      <c r="T26">
        <v>20810</v>
      </c>
      <c r="U26">
        <v>22810</v>
      </c>
      <c r="X26">
        <v>9550</v>
      </c>
      <c r="Y26">
        <v>4635</v>
      </c>
      <c r="Z26">
        <v>4913</v>
      </c>
      <c r="AC26">
        <v>9520</v>
      </c>
      <c r="AD26">
        <v>4615</v>
      </c>
      <c r="AE26">
        <v>4903</v>
      </c>
      <c r="AH26">
        <v>30</v>
      </c>
      <c r="AI26">
        <v>20</v>
      </c>
      <c r="AJ26">
        <v>10</v>
      </c>
      <c r="AM26">
        <v>3908</v>
      </c>
      <c r="AN26">
        <v>41</v>
      </c>
      <c r="AO26">
        <v>1546</v>
      </c>
      <c r="AP26">
        <v>16</v>
      </c>
      <c r="AQ26">
        <v>590</v>
      </c>
      <c r="AR26">
        <v>640</v>
      </c>
      <c r="AS26">
        <v>690</v>
      </c>
      <c r="AT26">
        <v>580</v>
      </c>
      <c r="AU26">
        <v>640</v>
      </c>
      <c r="AV26">
        <v>710</v>
      </c>
      <c r="AW26">
        <v>27</v>
      </c>
      <c r="AX26">
        <v>30</v>
      </c>
      <c r="AY26">
        <v>32</v>
      </c>
      <c r="AZ26">
        <v>26</v>
      </c>
      <c r="BA26">
        <v>30</v>
      </c>
      <c r="BB26">
        <v>34</v>
      </c>
      <c r="BC26">
        <v>26</v>
      </c>
      <c r="BD26">
        <v>28</v>
      </c>
      <c r="BE26">
        <v>31</v>
      </c>
      <c r="BF26">
        <v>80</v>
      </c>
      <c r="BG26">
        <v>79</v>
      </c>
      <c r="BH26">
        <v>81</v>
      </c>
      <c r="BI26" t="s">
        <v>145</v>
      </c>
      <c r="BJ26" t="s">
        <v>431</v>
      </c>
      <c r="BK26" t="s">
        <v>474</v>
      </c>
      <c r="BL26" t="s">
        <v>100</v>
      </c>
      <c r="BM26" t="s">
        <v>235</v>
      </c>
      <c r="BN26" t="s">
        <v>475</v>
      </c>
      <c r="BO26" t="s">
        <v>503</v>
      </c>
      <c r="BP26" t="s">
        <v>504</v>
      </c>
      <c r="BQ26" t="s">
        <v>505</v>
      </c>
      <c r="BR26" t="s">
        <v>506</v>
      </c>
      <c r="BS26" t="s">
        <v>507</v>
      </c>
      <c r="BT26" t="s">
        <v>508</v>
      </c>
      <c r="BU26" t="s">
        <v>517</v>
      </c>
      <c r="BV26" t="s">
        <v>510</v>
      </c>
      <c r="BW26" t="s">
        <v>545</v>
      </c>
      <c r="BX26" t="s">
        <v>516</v>
      </c>
      <c r="BY26" t="s">
        <v>513</v>
      </c>
      <c r="BZ26" t="s">
        <v>508</v>
      </c>
      <c r="CA26" t="s">
        <v>514</v>
      </c>
    </row>
    <row r="27" spans="1:79" x14ac:dyDescent="0.35">
      <c r="A27">
        <v>152080</v>
      </c>
      <c r="B27" t="s">
        <v>501</v>
      </c>
      <c r="C27" t="s">
        <v>501</v>
      </c>
      <c r="D27" t="s">
        <v>499</v>
      </c>
      <c r="E27" t="s">
        <v>499</v>
      </c>
      <c r="F27" t="s">
        <v>499</v>
      </c>
      <c r="G27" t="s">
        <v>501</v>
      </c>
      <c r="H27" t="s">
        <v>521</v>
      </c>
      <c r="I27" t="s">
        <v>499</v>
      </c>
      <c r="J27" t="s">
        <v>521</v>
      </c>
      <c r="K27" t="s">
        <v>501</v>
      </c>
      <c r="L27" t="s">
        <v>499</v>
      </c>
      <c r="M27" t="s">
        <v>501</v>
      </c>
      <c r="N27">
        <v>28353</v>
      </c>
      <c r="O27">
        <v>13735</v>
      </c>
      <c r="P27">
        <v>14618</v>
      </c>
      <c r="R27">
        <v>0</v>
      </c>
      <c r="S27">
        <v>3510</v>
      </c>
      <c r="T27">
        <v>1793</v>
      </c>
      <c r="U27">
        <v>1717</v>
      </c>
      <c r="W27">
        <v>0</v>
      </c>
      <c r="X27">
        <v>2075</v>
      </c>
      <c r="Y27">
        <v>1060</v>
      </c>
      <c r="Z27">
        <v>1015</v>
      </c>
      <c r="AB27">
        <v>0</v>
      </c>
      <c r="AC27">
        <v>2075</v>
      </c>
      <c r="AD27">
        <v>1060</v>
      </c>
      <c r="AE27">
        <v>1015</v>
      </c>
      <c r="AG27">
        <v>0</v>
      </c>
      <c r="AM27">
        <v>612</v>
      </c>
      <c r="AN27">
        <v>29</v>
      </c>
      <c r="AO27">
        <v>594</v>
      </c>
      <c r="AP27">
        <v>29</v>
      </c>
      <c r="AQ27">
        <v>710</v>
      </c>
      <c r="AR27">
        <v>740</v>
      </c>
      <c r="AS27">
        <v>760</v>
      </c>
      <c r="AT27">
        <v>730</v>
      </c>
      <c r="AU27">
        <v>760</v>
      </c>
      <c r="AV27">
        <v>780</v>
      </c>
      <c r="AW27">
        <v>33</v>
      </c>
      <c r="AX27">
        <v>34</v>
      </c>
      <c r="AY27">
        <v>35</v>
      </c>
      <c r="BF27">
        <v>12</v>
      </c>
      <c r="BG27">
        <v>13</v>
      </c>
      <c r="BH27">
        <v>12</v>
      </c>
      <c r="BI27" t="s">
        <v>14</v>
      </c>
      <c r="BJ27" t="s">
        <v>430</v>
      </c>
      <c r="BK27" t="s">
        <v>237</v>
      </c>
      <c r="BL27" t="s">
        <v>121</v>
      </c>
      <c r="BM27" t="s">
        <v>235</v>
      </c>
      <c r="BN27">
        <v>46556</v>
      </c>
      <c r="BO27" t="s">
        <v>503</v>
      </c>
      <c r="BP27" t="s">
        <v>504</v>
      </c>
      <c r="BQ27" t="s">
        <v>505</v>
      </c>
      <c r="BR27" t="s">
        <v>506</v>
      </c>
      <c r="BS27" t="s">
        <v>507</v>
      </c>
      <c r="BT27" t="s">
        <v>508</v>
      </c>
      <c r="BU27" t="s">
        <v>509</v>
      </c>
      <c r="BV27" t="s">
        <v>510</v>
      </c>
      <c r="BW27" t="s">
        <v>528</v>
      </c>
      <c r="BX27" t="s">
        <v>512</v>
      </c>
      <c r="BY27" t="s">
        <v>519</v>
      </c>
      <c r="BZ27" t="s">
        <v>508</v>
      </c>
      <c r="CA27" t="s">
        <v>540</v>
      </c>
    </row>
    <row r="28" spans="1:79" x14ac:dyDescent="0.35">
      <c r="A28">
        <v>153384</v>
      </c>
      <c r="B28" t="s">
        <v>501</v>
      </c>
      <c r="C28" t="s">
        <v>501</v>
      </c>
      <c r="D28" t="s">
        <v>499</v>
      </c>
      <c r="E28" t="s">
        <v>501</v>
      </c>
      <c r="F28" t="s">
        <v>501</v>
      </c>
      <c r="G28" t="s">
        <v>501</v>
      </c>
      <c r="H28" t="s">
        <v>521</v>
      </c>
      <c r="I28" t="s">
        <v>499</v>
      </c>
      <c r="J28" t="s">
        <v>521</v>
      </c>
      <c r="K28" t="s">
        <v>501</v>
      </c>
      <c r="L28" t="s">
        <v>499</v>
      </c>
      <c r="M28" t="s">
        <v>501</v>
      </c>
      <c r="N28">
        <v>9988</v>
      </c>
      <c r="O28">
        <v>4822</v>
      </c>
      <c r="P28">
        <v>4840</v>
      </c>
      <c r="Q28">
        <v>326</v>
      </c>
      <c r="R28">
        <v>0</v>
      </c>
      <c r="S28">
        <v>1266</v>
      </c>
      <c r="T28">
        <v>533</v>
      </c>
      <c r="U28">
        <v>676</v>
      </c>
      <c r="V28">
        <v>57</v>
      </c>
      <c r="W28">
        <v>0</v>
      </c>
      <c r="X28">
        <v>457</v>
      </c>
      <c r="Y28">
        <v>210</v>
      </c>
      <c r="Z28">
        <v>228</v>
      </c>
      <c r="AA28">
        <v>19</v>
      </c>
      <c r="AB28">
        <v>0</v>
      </c>
      <c r="AC28">
        <v>457</v>
      </c>
      <c r="AD28">
        <v>210</v>
      </c>
      <c r="AE28">
        <v>228</v>
      </c>
      <c r="AF28">
        <v>19</v>
      </c>
      <c r="AG28">
        <v>0</v>
      </c>
      <c r="AM28">
        <v>136</v>
      </c>
      <c r="AN28">
        <v>30</v>
      </c>
      <c r="AO28">
        <v>97</v>
      </c>
      <c r="AP28">
        <v>21</v>
      </c>
      <c r="AQ28">
        <v>698</v>
      </c>
      <c r="AR28">
        <v>730</v>
      </c>
      <c r="AS28">
        <v>760</v>
      </c>
      <c r="AT28">
        <v>720</v>
      </c>
      <c r="AU28">
        <v>760</v>
      </c>
      <c r="AV28">
        <v>790</v>
      </c>
      <c r="AW28">
        <v>31</v>
      </c>
      <c r="AX28">
        <v>33</v>
      </c>
      <c r="AY28">
        <v>34</v>
      </c>
      <c r="AZ28">
        <v>31</v>
      </c>
      <c r="BA28">
        <v>34</v>
      </c>
      <c r="BB28">
        <v>35</v>
      </c>
      <c r="BC28">
        <v>27</v>
      </c>
      <c r="BD28">
        <v>30</v>
      </c>
      <c r="BE28">
        <v>34</v>
      </c>
      <c r="BF28">
        <v>13</v>
      </c>
      <c r="BG28">
        <v>11</v>
      </c>
      <c r="BH28">
        <v>14</v>
      </c>
      <c r="BI28" t="s">
        <v>146</v>
      </c>
      <c r="BJ28" t="s">
        <v>432</v>
      </c>
      <c r="BK28" t="s">
        <v>377</v>
      </c>
      <c r="BL28" t="s">
        <v>378</v>
      </c>
      <c r="BM28" t="s">
        <v>379</v>
      </c>
      <c r="BN28" t="s">
        <v>380</v>
      </c>
      <c r="BO28" t="s">
        <v>532</v>
      </c>
      <c r="BP28" t="s">
        <v>533</v>
      </c>
      <c r="BQ28" t="s">
        <v>523</v>
      </c>
      <c r="BR28" t="s">
        <v>524</v>
      </c>
      <c r="BS28" t="s">
        <v>525</v>
      </c>
      <c r="BT28" t="s">
        <v>525</v>
      </c>
      <c r="BU28" t="s">
        <v>526</v>
      </c>
      <c r="BV28" t="s">
        <v>527</v>
      </c>
      <c r="BW28" t="s">
        <v>528</v>
      </c>
      <c r="BX28" t="s">
        <v>529</v>
      </c>
      <c r="BY28" t="s">
        <v>530</v>
      </c>
      <c r="BZ28" t="s">
        <v>525</v>
      </c>
      <c r="CA28" t="s">
        <v>531</v>
      </c>
    </row>
    <row r="29" spans="1:79" x14ac:dyDescent="0.35">
      <c r="A29">
        <v>160755</v>
      </c>
      <c r="B29" t="s">
        <v>499</v>
      </c>
      <c r="C29" t="s">
        <v>501</v>
      </c>
      <c r="D29" t="s">
        <v>499</v>
      </c>
      <c r="E29" t="s">
        <v>499</v>
      </c>
      <c r="F29" t="s">
        <v>499</v>
      </c>
      <c r="G29" t="s">
        <v>501</v>
      </c>
      <c r="H29" t="s">
        <v>521</v>
      </c>
      <c r="I29" t="s">
        <v>499</v>
      </c>
      <c r="J29" t="s">
        <v>502</v>
      </c>
      <c r="K29" t="s">
        <v>501</v>
      </c>
      <c r="L29" t="s">
        <v>499</v>
      </c>
      <c r="M29" t="s">
        <v>501</v>
      </c>
      <c r="N29">
        <v>27936</v>
      </c>
      <c r="O29">
        <v>10307</v>
      </c>
      <c r="P29">
        <v>17629</v>
      </c>
      <c r="S29">
        <v>4077</v>
      </c>
      <c r="T29">
        <v>1404</v>
      </c>
      <c r="U29">
        <v>2673</v>
      </c>
      <c r="X29">
        <v>1867</v>
      </c>
      <c r="Y29">
        <v>677</v>
      </c>
      <c r="Z29">
        <v>1190</v>
      </c>
      <c r="AC29">
        <v>1867</v>
      </c>
      <c r="AD29">
        <v>677</v>
      </c>
      <c r="AE29">
        <v>1190</v>
      </c>
      <c r="AM29">
        <v>262</v>
      </c>
      <c r="AN29">
        <v>14</v>
      </c>
      <c r="AO29">
        <v>573</v>
      </c>
      <c r="AP29">
        <v>31</v>
      </c>
      <c r="AQ29">
        <v>690</v>
      </c>
      <c r="AR29">
        <v>720</v>
      </c>
      <c r="AS29">
        <v>750</v>
      </c>
      <c r="AT29">
        <v>700</v>
      </c>
      <c r="AU29">
        <v>730</v>
      </c>
      <c r="AV29">
        <v>760</v>
      </c>
      <c r="AW29">
        <v>31</v>
      </c>
      <c r="AX29">
        <v>32</v>
      </c>
      <c r="AY29">
        <v>33</v>
      </c>
      <c r="AZ29">
        <v>31</v>
      </c>
      <c r="BA29">
        <v>34</v>
      </c>
      <c r="BB29">
        <v>35</v>
      </c>
      <c r="BC29">
        <v>27</v>
      </c>
      <c r="BD29">
        <v>29</v>
      </c>
      <c r="BE29">
        <v>32</v>
      </c>
      <c r="BF29">
        <v>15</v>
      </c>
      <c r="BG29">
        <v>14</v>
      </c>
      <c r="BH29">
        <v>15</v>
      </c>
      <c r="BI29" t="s">
        <v>147</v>
      </c>
      <c r="BJ29" t="s">
        <v>429</v>
      </c>
      <c r="BK29" t="s">
        <v>381</v>
      </c>
      <c r="BL29" t="s">
        <v>116</v>
      </c>
      <c r="BM29" t="s">
        <v>382</v>
      </c>
      <c r="BN29" t="s">
        <v>383</v>
      </c>
      <c r="BO29" t="s">
        <v>503</v>
      </c>
      <c r="BP29" t="s">
        <v>504</v>
      </c>
      <c r="BQ29" t="s">
        <v>505</v>
      </c>
      <c r="BR29" t="s">
        <v>506</v>
      </c>
      <c r="BS29" t="s">
        <v>507</v>
      </c>
      <c r="BT29" t="s">
        <v>508</v>
      </c>
      <c r="BU29" t="s">
        <v>517</v>
      </c>
      <c r="BV29" t="s">
        <v>515</v>
      </c>
      <c r="BW29" t="s">
        <v>528</v>
      </c>
      <c r="BX29" t="s">
        <v>512</v>
      </c>
      <c r="BY29" t="s">
        <v>513</v>
      </c>
      <c r="BZ29" t="s">
        <v>508</v>
      </c>
      <c r="CA29" t="s">
        <v>540</v>
      </c>
    </row>
    <row r="30" spans="1:79" x14ac:dyDescent="0.35">
      <c r="A30">
        <v>160977</v>
      </c>
      <c r="B30" t="s">
        <v>501</v>
      </c>
      <c r="C30" t="s">
        <v>501</v>
      </c>
      <c r="D30" t="s">
        <v>499</v>
      </c>
      <c r="E30" t="s">
        <v>501</v>
      </c>
      <c r="F30" t="s">
        <v>499</v>
      </c>
      <c r="G30" t="s">
        <v>501</v>
      </c>
      <c r="H30" t="s">
        <v>521</v>
      </c>
      <c r="I30" t="s">
        <v>499</v>
      </c>
      <c r="J30" t="s">
        <v>502</v>
      </c>
      <c r="K30" t="s">
        <v>501</v>
      </c>
      <c r="L30" t="s">
        <v>499</v>
      </c>
      <c r="M30" t="s">
        <v>501</v>
      </c>
      <c r="N30">
        <v>8937</v>
      </c>
      <c r="O30">
        <v>4253</v>
      </c>
      <c r="P30">
        <v>4684</v>
      </c>
      <c r="S30">
        <v>1164</v>
      </c>
      <c r="T30">
        <v>542</v>
      </c>
      <c r="U30">
        <v>622</v>
      </c>
      <c r="X30">
        <v>505</v>
      </c>
      <c r="Y30">
        <v>261</v>
      </c>
      <c r="Z30">
        <v>244</v>
      </c>
      <c r="AC30">
        <v>505</v>
      </c>
      <c r="AD30">
        <v>261</v>
      </c>
      <c r="AE30">
        <v>244</v>
      </c>
      <c r="AM30">
        <v>70</v>
      </c>
      <c r="AN30">
        <v>14</v>
      </c>
      <c r="AO30">
        <v>42</v>
      </c>
      <c r="AP30">
        <v>8</v>
      </c>
      <c r="AQ30">
        <v>700</v>
      </c>
      <c r="AR30">
        <v>720</v>
      </c>
      <c r="AS30">
        <v>740</v>
      </c>
      <c r="AT30">
        <v>700</v>
      </c>
      <c r="AU30">
        <v>730</v>
      </c>
      <c r="AV30">
        <v>770</v>
      </c>
      <c r="AW30">
        <v>31</v>
      </c>
      <c r="AX30">
        <v>32</v>
      </c>
      <c r="AY30">
        <v>33</v>
      </c>
      <c r="BF30">
        <v>13</v>
      </c>
      <c r="BG30">
        <v>13</v>
      </c>
      <c r="BH30">
        <v>13</v>
      </c>
      <c r="BI30" t="s">
        <v>28</v>
      </c>
      <c r="BJ30" t="s">
        <v>431</v>
      </c>
      <c r="BK30" t="s">
        <v>238</v>
      </c>
      <c r="BL30" t="s">
        <v>79</v>
      </c>
      <c r="BM30" t="s">
        <v>239</v>
      </c>
      <c r="BN30">
        <v>4240</v>
      </c>
      <c r="BO30" t="s">
        <v>532</v>
      </c>
      <c r="BP30" t="s">
        <v>533</v>
      </c>
      <c r="BQ30" t="s">
        <v>523</v>
      </c>
      <c r="BR30" t="s">
        <v>524</v>
      </c>
      <c r="BS30" t="s">
        <v>525</v>
      </c>
      <c r="BT30" t="s">
        <v>525</v>
      </c>
      <c r="BU30" t="s">
        <v>526</v>
      </c>
      <c r="BV30" t="s">
        <v>527</v>
      </c>
      <c r="BW30" t="s">
        <v>528</v>
      </c>
      <c r="BX30" t="s">
        <v>529</v>
      </c>
      <c r="BY30" t="s">
        <v>530</v>
      </c>
      <c r="BZ30" t="s">
        <v>525</v>
      </c>
      <c r="CA30" t="s">
        <v>531</v>
      </c>
    </row>
    <row r="31" spans="1:79" x14ac:dyDescent="0.35">
      <c r="A31">
        <v>161004</v>
      </c>
      <c r="B31" t="s">
        <v>501</v>
      </c>
      <c r="C31" t="s">
        <v>501</v>
      </c>
      <c r="D31" t="s">
        <v>499</v>
      </c>
      <c r="E31" t="s">
        <v>499</v>
      </c>
      <c r="F31" t="s">
        <v>499</v>
      </c>
      <c r="G31" t="s">
        <v>501</v>
      </c>
      <c r="H31" t="s">
        <v>521</v>
      </c>
      <c r="I31" t="s">
        <v>521</v>
      </c>
      <c r="J31" t="s">
        <v>521</v>
      </c>
      <c r="K31" t="s">
        <v>501</v>
      </c>
      <c r="L31" t="s">
        <v>499</v>
      </c>
      <c r="M31" t="s">
        <v>501</v>
      </c>
      <c r="N31">
        <v>10966</v>
      </c>
      <c r="O31">
        <v>4865</v>
      </c>
      <c r="P31">
        <v>6101</v>
      </c>
      <c r="R31">
        <v>0</v>
      </c>
      <c r="S31">
        <v>879</v>
      </c>
      <c r="T31">
        <v>420</v>
      </c>
      <c r="U31">
        <v>459</v>
      </c>
      <c r="W31">
        <v>0</v>
      </c>
      <c r="X31">
        <v>504</v>
      </c>
      <c r="Y31">
        <v>251</v>
      </c>
      <c r="Z31">
        <v>253</v>
      </c>
      <c r="AB31">
        <v>0</v>
      </c>
      <c r="AC31">
        <v>504</v>
      </c>
      <c r="AD31">
        <v>251</v>
      </c>
      <c r="AE31">
        <v>253</v>
      </c>
      <c r="AG31">
        <v>0</v>
      </c>
      <c r="AM31">
        <v>185</v>
      </c>
      <c r="AN31">
        <v>37</v>
      </c>
      <c r="AO31">
        <v>110</v>
      </c>
      <c r="AP31">
        <v>22</v>
      </c>
      <c r="AQ31">
        <v>730</v>
      </c>
      <c r="AR31">
        <v>750</v>
      </c>
      <c r="AS31">
        <v>760</v>
      </c>
      <c r="AT31">
        <v>750</v>
      </c>
      <c r="AU31">
        <v>760</v>
      </c>
      <c r="AV31">
        <v>790</v>
      </c>
      <c r="AW31">
        <v>33</v>
      </c>
      <c r="AX31">
        <v>34</v>
      </c>
      <c r="AY31">
        <v>35</v>
      </c>
      <c r="AZ31">
        <v>34</v>
      </c>
      <c r="BA31">
        <v>35</v>
      </c>
      <c r="BB31">
        <v>36</v>
      </c>
      <c r="BC31">
        <v>30</v>
      </c>
      <c r="BD31">
        <v>32</v>
      </c>
      <c r="BE31">
        <v>34</v>
      </c>
      <c r="BF31">
        <v>8</v>
      </c>
      <c r="BG31">
        <v>9</v>
      </c>
      <c r="BH31">
        <v>8</v>
      </c>
      <c r="BI31" t="s">
        <v>32</v>
      </c>
      <c r="BJ31" t="s">
        <v>433</v>
      </c>
      <c r="BK31" t="s">
        <v>240</v>
      </c>
      <c r="BL31" t="s">
        <v>81</v>
      </c>
      <c r="BM31" t="s">
        <v>239</v>
      </c>
      <c r="BN31">
        <v>4011</v>
      </c>
      <c r="BO31" t="s">
        <v>532</v>
      </c>
      <c r="BP31" t="s">
        <v>533</v>
      </c>
      <c r="BQ31" t="s">
        <v>523</v>
      </c>
      <c r="BR31" t="s">
        <v>524</v>
      </c>
      <c r="BS31" t="s">
        <v>525</v>
      </c>
      <c r="BT31" t="s">
        <v>525</v>
      </c>
      <c r="BU31" t="s">
        <v>526</v>
      </c>
      <c r="BV31" t="s">
        <v>527</v>
      </c>
      <c r="BW31" t="s">
        <v>528</v>
      </c>
      <c r="BX31" t="s">
        <v>529</v>
      </c>
      <c r="BY31" t="s">
        <v>530</v>
      </c>
      <c r="BZ31" t="s">
        <v>525</v>
      </c>
      <c r="CA31" t="s">
        <v>531</v>
      </c>
    </row>
    <row r="32" spans="1:79" x14ac:dyDescent="0.35">
      <c r="A32">
        <v>161086</v>
      </c>
      <c r="B32" t="s">
        <v>501</v>
      </c>
      <c r="C32" t="s">
        <v>501</v>
      </c>
      <c r="D32" t="s">
        <v>499</v>
      </c>
      <c r="E32" t="s">
        <v>501</v>
      </c>
      <c r="F32" t="s">
        <v>501</v>
      </c>
      <c r="G32" t="s">
        <v>501</v>
      </c>
      <c r="H32" t="s">
        <v>521</v>
      </c>
      <c r="I32" t="s">
        <v>499</v>
      </c>
      <c r="J32" t="s">
        <v>521</v>
      </c>
      <c r="K32" t="s">
        <v>501</v>
      </c>
      <c r="L32" t="s">
        <v>501</v>
      </c>
      <c r="M32" t="s">
        <v>501</v>
      </c>
      <c r="N32">
        <v>17786</v>
      </c>
      <c r="O32">
        <v>8479</v>
      </c>
      <c r="P32">
        <v>9307</v>
      </c>
      <c r="S32">
        <v>1215</v>
      </c>
      <c r="T32">
        <v>591</v>
      </c>
      <c r="U32">
        <v>624</v>
      </c>
      <c r="X32">
        <v>605</v>
      </c>
      <c r="Y32">
        <v>300</v>
      </c>
      <c r="Z32">
        <v>305</v>
      </c>
      <c r="AC32">
        <v>605</v>
      </c>
      <c r="AD32">
        <v>300</v>
      </c>
      <c r="AE32">
        <v>305</v>
      </c>
      <c r="AM32">
        <v>219</v>
      </c>
      <c r="AN32">
        <v>36</v>
      </c>
      <c r="AO32">
        <v>108</v>
      </c>
      <c r="AP32">
        <v>18</v>
      </c>
      <c r="AQ32">
        <v>710</v>
      </c>
      <c r="AR32">
        <v>740</v>
      </c>
      <c r="AS32">
        <v>760</v>
      </c>
      <c r="AT32">
        <v>730</v>
      </c>
      <c r="AU32">
        <v>770</v>
      </c>
      <c r="AV32">
        <v>790</v>
      </c>
      <c r="AW32">
        <v>32</v>
      </c>
      <c r="AX32">
        <v>33</v>
      </c>
      <c r="AY32">
        <v>34</v>
      </c>
      <c r="AZ32">
        <v>33</v>
      </c>
      <c r="BA32">
        <v>35</v>
      </c>
      <c r="BB32">
        <v>35</v>
      </c>
      <c r="BC32">
        <v>29</v>
      </c>
      <c r="BD32">
        <v>31</v>
      </c>
      <c r="BE32">
        <v>33</v>
      </c>
      <c r="BF32">
        <v>7</v>
      </c>
      <c r="BG32">
        <v>7</v>
      </c>
      <c r="BH32">
        <v>7</v>
      </c>
      <c r="BI32" t="s">
        <v>71</v>
      </c>
      <c r="BJ32" t="s">
        <v>432</v>
      </c>
      <c r="BK32" t="s">
        <v>241</v>
      </c>
      <c r="BL32" t="s">
        <v>89</v>
      </c>
      <c r="BM32" t="s">
        <v>239</v>
      </c>
      <c r="BN32" t="s">
        <v>242</v>
      </c>
      <c r="BO32" t="s">
        <v>532</v>
      </c>
      <c r="BP32" t="s">
        <v>533</v>
      </c>
      <c r="BQ32" t="s">
        <v>523</v>
      </c>
      <c r="BR32" t="s">
        <v>524</v>
      </c>
      <c r="BS32" t="s">
        <v>525</v>
      </c>
      <c r="BT32" t="s">
        <v>525</v>
      </c>
      <c r="BU32" t="s">
        <v>526</v>
      </c>
      <c r="BV32" t="s">
        <v>527</v>
      </c>
      <c r="BW32" t="s">
        <v>528</v>
      </c>
      <c r="BX32" t="s">
        <v>529</v>
      </c>
      <c r="BY32" t="s">
        <v>530</v>
      </c>
      <c r="BZ32" t="s">
        <v>525</v>
      </c>
      <c r="CA32" t="s">
        <v>531</v>
      </c>
    </row>
    <row r="33" spans="1:79" x14ac:dyDescent="0.35">
      <c r="A33">
        <v>164465</v>
      </c>
      <c r="B33" t="s">
        <v>501</v>
      </c>
      <c r="C33" t="s">
        <v>501</v>
      </c>
      <c r="D33" t="s">
        <v>499</v>
      </c>
      <c r="E33" t="s">
        <v>501</v>
      </c>
      <c r="F33" t="s">
        <v>499</v>
      </c>
      <c r="G33" t="s">
        <v>501</v>
      </c>
      <c r="H33" t="s">
        <v>521</v>
      </c>
      <c r="I33" t="s">
        <v>499</v>
      </c>
      <c r="J33" t="s">
        <v>502</v>
      </c>
      <c r="K33" t="s">
        <v>501</v>
      </c>
      <c r="L33" t="s">
        <v>499</v>
      </c>
      <c r="M33" t="s">
        <v>500</v>
      </c>
      <c r="N33">
        <v>12727</v>
      </c>
      <c r="O33">
        <v>4935</v>
      </c>
      <c r="P33">
        <v>5793</v>
      </c>
      <c r="Q33">
        <v>807</v>
      </c>
      <c r="R33">
        <v>1192</v>
      </c>
      <c r="S33">
        <v>1250</v>
      </c>
      <c r="T33">
        <v>493</v>
      </c>
      <c r="U33">
        <v>597</v>
      </c>
      <c r="V33">
        <v>58</v>
      </c>
      <c r="W33">
        <v>102</v>
      </c>
      <c r="X33">
        <v>488</v>
      </c>
      <c r="Y33">
        <v>197</v>
      </c>
      <c r="Z33">
        <v>239</v>
      </c>
      <c r="AA33">
        <v>14</v>
      </c>
      <c r="AB33">
        <v>38</v>
      </c>
      <c r="AC33">
        <v>488</v>
      </c>
      <c r="AD33">
        <v>197</v>
      </c>
      <c r="AE33">
        <v>239</v>
      </c>
      <c r="AF33">
        <v>14</v>
      </c>
      <c r="AG33">
        <v>38</v>
      </c>
      <c r="AM33">
        <v>187</v>
      </c>
      <c r="AN33">
        <v>38</v>
      </c>
      <c r="AO33">
        <v>84</v>
      </c>
      <c r="AP33">
        <v>17</v>
      </c>
      <c r="AQ33">
        <v>690</v>
      </c>
      <c r="AR33">
        <v>740</v>
      </c>
      <c r="AS33">
        <v>770</v>
      </c>
      <c r="AT33">
        <v>670</v>
      </c>
      <c r="AU33">
        <v>760</v>
      </c>
      <c r="AV33">
        <v>780</v>
      </c>
      <c r="AW33">
        <v>31</v>
      </c>
      <c r="AX33">
        <v>33</v>
      </c>
      <c r="AY33">
        <v>35</v>
      </c>
      <c r="AZ33">
        <v>32</v>
      </c>
      <c r="BA33">
        <v>35</v>
      </c>
      <c r="BB33">
        <v>35</v>
      </c>
      <c r="BC33">
        <v>28</v>
      </c>
      <c r="BD33">
        <v>31</v>
      </c>
      <c r="BE33">
        <v>35</v>
      </c>
      <c r="BF33">
        <v>10</v>
      </c>
      <c r="BG33">
        <v>10</v>
      </c>
      <c r="BH33">
        <v>10</v>
      </c>
      <c r="BI33" t="s">
        <v>22</v>
      </c>
      <c r="BJ33" t="s">
        <v>431</v>
      </c>
      <c r="BK33" t="s">
        <v>243</v>
      </c>
      <c r="BL33" t="s">
        <v>1</v>
      </c>
      <c r="BM33" t="s">
        <v>244</v>
      </c>
      <c r="BN33" t="s">
        <v>245</v>
      </c>
      <c r="BO33" t="s">
        <v>532</v>
      </c>
      <c r="BP33" t="s">
        <v>533</v>
      </c>
      <c r="BQ33" t="s">
        <v>523</v>
      </c>
      <c r="BR33" t="s">
        <v>524</v>
      </c>
      <c r="BS33" t="s">
        <v>525</v>
      </c>
      <c r="BT33" t="s">
        <v>525</v>
      </c>
      <c r="BU33" t="s">
        <v>526</v>
      </c>
      <c r="BV33" t="s">
        <v>527</v>
      </c>
      <c r="BW33" t="s">
        <v>528</v>
      </c>
      <c r="BX33" t="s">
        <v>529</v>
      </c>
      <c r="BY33" t="s">
        <v>530</v>
      </c>
      <c r="BZ33" t="s">
        <v>525</v>
      </c>
      <c r="CA33" t="s">
        <v>531</v>
      </c>
    </row>
    <row r="34" spans="1:79" x14ac:dyDescent="0.35">
      <c r="A34">
        <v>164924</v>
      </c>
      <c r="B34" t="s">
        <v>499</v>
      </c>
      <c r="C34" t="s">
        <v>501</v>
      </c>
      <c r="D34" t="s">
        <v>499</v>
      </c>
      <c r="E34" t="s">
        <v>499</v>
      </c>
      <c r="F34" t="s">
        <v>499</v>
      </c>
      <c r="G34" t="s">
        <v>501</v>
      </c>
      <c r="H34" t="s">
        <v>521</v>
      </c>
      <c r="I34" t="s">
        <v>499</v>
      </c>
      <c r="J34" t="s">
        <v>521</v>
      </c>
      <c r="K34" t="s">
        <v>501</v>
      </c>
      <c r="L34" t="s">
        <v>499</v>
      </c>
      <c r="M34" t="s">
        <v>501</v>
      </c>
      <c r="N34">
        <v>36069</v>
      </c>
      <c r="O34">
        <v>14358</v>
      </c>
      <c r="P34">
        <v>21711</v>
      </c>
      <c r="R34">
        <v>0</v>
      </c>
      <c r="S34">
        <v>5645</v>
      </c>
      <c r="T34">
        <v>2510</v>
      </c>
      <c r="U34">
        <v>3135</v>
      </c>
      <c r="W34">
        <v>0</v>
      </c>
      <c r="X34">
        <v>2335</v>
      </c>
      <c r="Y34">
        <v>1056</v>
      </c>
      <c r="Z34">
        <v>1279</v>
      </c>
      <c r="AB34">
        <v>0</v>
      </c>
      <c r="AC34">
        <v>2335</v>
      </c>
      <c r="AD34">
        <v>1056</v>
      </c>
      <c r="AE34">
        <v>1279</v>
      </c>
      <c r="AG34">
        <v>0</v>
      </c>
      <c r="AM34">
        <v>662</v>
      </c>
      <c r="AN34">
        <v>28</v>
      </c>
      <c r="AO34">
        <v>379</v>
      </c>
      <c r="AP34">
        <v>16</v>
      </c>
      <c r="AQ34">
        <v>710</v>
      </c>
      <c r="AR34">
        <v>730</v>
      </c>
      <c r="AS34">
        <v>760</v>
      </c>
      <c r="AT34">
        <v>720</v>
      </c>
      <c r="AU34">
        <v>760</v>
      </c>
      <c r="AV34">
        <v>780</v>
      </c>
      <c r="AW34">
        <v>33</v>
      </c>
      <c r="AX34">
        <v>34</v>
      </c>
      <c r="AY34">
        <v>34</v>
      </c>
      <c r="AZ34">
        <v>34</v>
      </c>
      <c r="BA34">
        <v>35</v>
      </c>
      <c r="BB34">
        <v>35</v>
      </c>
      <c r="BC34">
        <v>30</v>
      </c>
      <c r="BD34">
        <v>32</v>
      </c>
      <c r="BE34">
        <v>34</v>
      </c>
      <c r="BF34">
        <v>16</v>
      </c>
      <c r="BG34">
        <v>17</v>
      </c>
      <c r="BH34">
        <v>14</v>
      </c>
      <c r="BI34" t="s">
        <v>2</v>
      </c>
      <c r="BJ34" t="s">
        <v>431</v>
      </c>
      <c r="BK34" t="s">
        <v>246</v>
      </c>
      <c r="BL34" t="s">
        <v>247</v>
      </c>
      <c r="BM34" t="s">
        <v>244</v>
      </c>
      <c r="BN34">
        <v>2467</v>
      </c>
      <c r="BO34" t="s">
        <v>503</v>
      </c>
      <c r="BP34" t="s">
        <v>504</v>
      </c>
      <c r="BQ34" t="s">
        <v>505</v>
      </c>
      <c r="BR34" t="s">
        <v>544</v>
      </c>
      <c r="BS34" t="s">
        <v>507</v>
      </c>
      <c r="BT34" t="s">
        <v>508</v>
      </c>
      <c r="BU34" t="s">
        <v>546</v>
      </c>
      <c r="BV34" t="s">
        <v>510</v>
      </c>
      <c r="BW34" t="s">
        <v>528</v>
      </c>
      <c r="BX34" t="s">
        <v>512</v>
      </c>
      <c r="BY34" t="s">
        <v>519</v>
      </c>
      <c r="BZ34" t="s">
        <v>508</v>
      </c>
      <c r="CA34" t="s">
        <v>540</v>
      </c>
    </row>
    <row r="35" spans="1:79" x14ac:dyDescent="0.35">
      <c r="A35">
        <v>164988</v>
      </c>
      <c r="B35" t="s">
        <v>499</v>
      </c>
      <c r="C35" t="s">
        <v>501</v>
      </c>
      <c r="D35" t="s">
        <v>499</v>
      </c>
      <c r="E35" t="s">
        <v>499</v>
      </c>
      <c r="F35" t="s">
        <v>499</v>
      </c>
      <c r="G35" t="s">
        <v>500</v>
      </c>
      <c r="H35" t="s">
        <v>521</v>
      </c>
      <c r="I35" t="s">
        <v>499</v>
      </c>
      <c r="J35" t="s">
        <v>502</v>
      </c>
      <c r="K35" t="s">
        <v>501</v>
      </c>
      <c r="L35" t="s">
        <v>499</v>
      </c>
      <c r="M35" t="s">
        <v>500</v>
      </c>
      <c r="N35">
        <v>80495</v>
      </c>
      <c r="O35">
        <v>32176</v>
      </c>
      <c r="P35">
        <v>48314</v>
      </c>
      <c r="Q35">
        <v>5</v>
      </c>
      <c r="R35">
        <v>0</v>
      </c>
      <c r="S35">
        <v>8733</v>
      </c>
      <c r="T35">
        <v>3906</v>
      </c>
      <c r="U35">
        <v>4827</v>
      </c>
      <c r="V35">
        <v>0</v>
      </c>
      <c r="W35">
        <v>0</v>
      </c>
      <c r="X35">
        <v>3145</v>
      </c>
      <c r="Y35">
        <v>1315</v>
      </c>
      <c r="Z35">
        <v>1830</v>
      </c>
      <c r="AB35">
        <v>0</v>
      </c>
      <c r="AC35">
        <v>3145</v>
      </c>
      <c r="AD35">
        <v>1315</v>
      </c>
      <c r="AE35">
        <v>1830</v>
      </c>
      <c r="AG35">
        <v>0</v>
      </c>
      <c r="AH35">
        <v>0</v>
      </c>
      <c r="AI35">
        <v>0</v>
      </c>
      <c r="AJ35">
        <v>0</v>
      </c>
      <c r="AL35">
        <v>0</v>
      </c>
      <c r="AM35">
        <v>892</v>
      </c>
      <c r="AN35">
        <v>28</v>
      </c>
      <c r="AO35">
        <v>311</v>
      </c>
      <c r="AP35">
        <v>10</v>
      </c>
      <c r="AQ35">
        <v>680</v>
      </c>
      <c r="AR35">
        <v>710</v>
      </c>
      <c r="AS35">
        <v>740</v>
      </c>
      <c r="AT35">
        <v>720</v>
      </c>
      <c r="AU35">
        <v>760</v>
      </c>
      <c r="AV35">
        <v>780</v>
      </c>
      <c r="AW35">
        <v>32</v>
      </c>
      <c r="AX35">
        <v>33</v>
      </c>
      <c r="AY35">
        <v>34</v>
      </c>
      <c r="AZ35">
        <v>33</v>
      </c>
      <c r="BA35">
        <v>35</v>
      </c>
      <c r="BB35">
        <v>35</v>
      </c>
      <c r="BC35">
        <v>29</v>
      </c>
      <c r="BD35">
        <v>31</v>
      </c>
      <c r="BE35">
        <v>34</v>
      </c>
      <c r="BF35">
        <v>11</v>
      </c>
      <c r="BG35">
        <v>12</v>
      </c>
      <c r="BH35">
        <v>10</v>
      </c>
      <c r="BI35" t="s">
        <v>3</v>
      </c>
      <c r="BJ35" t="s">
        <v>429</v>
      </c>
      <c r="BK35" t="s">
        <v>248</v>
      </c>
      <c r="BL35" t="s">
        <v>80</v>
      </c>
      <c r="BM35" t="s">
        <v>244</v>
      </c>
      <c r="BN35">
        <v>2215</v>
      </c>
      <c r="BO35" t="s">
        <v>503</v>
      </c>
      <c r="BP35" t="s">
        <v>504</v>
      </c>
      <c r="BQ35" t="s">
        <v>505</v>
      </c>
      <c r="BR35" t="s">
        <v>506</v>
      </c>
      <c r="BS35" t="s">
        <v>507</v>
      </c>
      <c r="BT35" t="s">
        <v>508</v>
      </c>
      <c r="BU35" t="s">
        <v>517</v>
      </c>
      <c r="BV35" t="s">
        <v>515</v>
      </c>
      <c r="BW35" t="s">
        <v>511</v>
      </c>
      <c r="BX35" t="s">
        <v>512</v>
      </c>
      <c r="BY35" t="s">
        <v>519</v>
      </c>
      <c r="BZ35" t="s">
        <v>508</v>
      </c>
      <c r="CA35" t="s">
        <v>514</v>
      </c>
    </row>
    <row r="36" spans="1:79" x14ac:dyDescent="0.35">
      <c r="A36">
        <v>165015</v>
      </c>
      <c r="B36" t="s">
        <v>501</v>
      </c>
      <c r="C36" t="s">
        <v>501</v>
      </c>
      <c r="D36" t="s">
        <v>499</v>
      </c>
      <c r="E36" t="s">
        <v>499</v>
      </c>
      <c r="F36" t="s">
        <v>499</v>
      </c>
      <c r="G36" t="s">
        <v>500</v>
      </c>
      <c r="H36" t="s">
        <v>521</v>
      </c>
      <c r="I36" t="s">
        <v>499</v>
      </c>
      <c r="J36" t="s">
        <v>502</v>
      </c>
      <c r="K36" t="s">
        <v>501</v>
      </c>
      <c r="L36" t="s">
        <v>499</v>
      </c>
      <c r="M36" t="s">
        <v>501</v>
      </c>
      <c r="N36">
        <v>11282</v>
      </c>
      <c r="O36">
        <v>4886</v>
      </c>
      <c r="P36">
        <v>6396</v>
      </c>
      <c r="R36">
        <v>0</v>
      </c>
      <c r="S36">
        <v>3984</v>
      </c>
      <c r="T36">
        <v>1507</v>
      </c>
      <c r="U36">
        <v>2477</v>
      </c>
      <c r="W36">
        <v>0</v>
      </c>
      <c r="X36">
        <v>865</v>
      </c>
      <c r="Y36">
        <v>354</v>
      </c>
      <c r="Z36">
        <v>511</v>
      </c>
      <c r="AB36">
        <v>0</v>
      </c>
      <c r="AC36">
        <v>865</v>
      </c>
      <c r="AD36">
        <v>354</v>
      </c>
      <c r="AE36">
        <v>511</v>
      </c>
      <c r="AG36">
        <v>0</v>
      </c>
      <c r="AM36">
        <v>269</v>
      </c>
      <c r="AN36">
        <v>31</v>
      </c>
      <c r="AO36">
        <v>91</v>
      </c>
      <c r="AP36">
        <v>11</v>
      </c>
      <c r="AQ36">
        <v>690</v>
      </c>
      <c r="AR36">
        <v>720</v>
      </c>
      <c r="AS36">
        <v>750</v>
      </c>
      <c r="AT36">
        <v>700</v>
      </c>
      <c r="AU36">
        <v>750</v>
      </c>
      <c r="AV36">
        <v>780</v>
      </c>
      <c r="AW36">
        <v>31</v>
      </c>
      <c r="AX36">
        <v>33</v>
      </c>
      <c r="AY36">
        <v>34</v>
      </c>
      <c r="AZ36">
        <v>32</v>
      </c>
      <c r="BA36">
        <v>34</v>
      </c>
      <c r="BB36">
        <v>35</v>
      </c>
      <c r="BC36">
        <v>28</v>
      </c>
      <c r="BD36">
        <v>31</v>
      </c>
      <c r="BE36">
        <v>34</v>
      </c>
      <c r="BF36">
        <v>35</v>
      </c>
      <c r="BG36">
        <v>31</v>
      </c>
      <c r="BH36">
        <v>39</v>
      </c>
      <c r="BI36" t="s">
        <v>73</v>
      </c>
      <c r="BJ36" t="s">
        <v>431</v>
      </c>
      <c r="BK36" t="s">
        <v>249</v>
      </c>
      <c r="BL36" t="s">
        <v>82</v>
      </c>
      <c r="BM36" t="s">
        <v>244</v>
      </c>
      <c r="BN36" t="s">
        <v>250</v>
      </c>
      <c r="BO36" t="s">
        <v>503</v>
      </c>
      <c r="BP36" t="s">
        <v>520</v>
      </c>
      <c r="BQ36" t="s">
        <v>505</v>
      </c>
      <c r="BR36" t="s">
        <v>506</v>
      </c>
      <c r="BS36" t="s">
        <v>507</v>
      </c>
      <c r="BT36" t="s">
        <v>508</v>
      </c>
      <c r="BU36" t="s">
        <v>518</v>
      </c>
      <c r="BV36" t="s">
        <v>510</v>
      </c>
      <c r="BW36" t="s">
        <v>528</v>
      </c>
      <c r="BX36" t="s">
        <v>512</v>
      </c>
      <c r="BY36" t="s">
        <v>554</v>
      </c>
      <c r="BZ36" t="s">
        <v>508</v>
      </c>
      <c r="CA36" t="s">
        <v>555</v>
      </c>
    </row>
    <row r="37" spans="1:79" x14ac:dyDescent="0.35">
      <c r="A37">
        <v>165334</v>
      </c>
      <c r="B37" t="s">
        <v>499</v>
      </c>
      <c r="C37" t="s">
        <v>501</v>
      </c>
      <c r="D37" t="s">
        <v>499</v>
      </c>
      <c r="E37" t="s">
        <v>499</v>
      </c>
      <c r="F37" t="s">
        <v>499</v>
      </c>
      <c r="G37" t="s">
        <v>500</v>
      </c>
      <c r="H37" t="s">
        <v>521</v>
      </c>
      <c r="I37" t="s">
        <v>499</v>
      </c>
      <c r="J37" t="s">
        <v>502</v>
      </c>
      <c r="K37" t="s">
        <v>501</v>
      </c>
      <c r="L37" t="s">
        <v>499</v>
      </c>
      <c r="M37" t="s">
        <v>500</v>
      </c>
      <c r="N37">
        <v>10730</v>
      </c>
      <c r="O37">
        <v>4551</v>
      </c>
      <c r="P37">
        <v>6179</v>
      </c>
      <c r="R37">
        <v>0</v>
      </c>
      <c r="S37">
        <v>4471</v>
      </c>
      <c r="T37">
        <v>1706</v>
      </c>
      <c r="U37">
        <v>2765</v>
      </c>
      <c r="W37">
        <v>0</v>
      </c>
      <c r="X37">
        <v>629</v>
      </c>
      <c r="Y37">
        <v>273</v>
      </c>
      <c r="Z37">
        <v>356</v>
      </c>
      <c r="AB37">
        <v>0</v>
      </c>
      <c r="AC37">
        <v>629</v>
      </c>
      <c r="AD37">
        <v>273</v>
      </c>
      <c r="AE37">
        <v>356</v>
      </c>
      <c r="AG37">
        <v>0</v>
      </c>
      <c r="AM37">
        <v>104</v>
      </c>
      <c r="AN37">
        <v>17</v>
      </c>
      <c r="AO37">
        <v>27</v>
      </c>
      <c r="AP37">
        <v>4</v>
      </c>
      <c r="AQ37">
        <v>640</v>
      </c>
      <c r="AR37">
        <v>680</v>
      </c>
      <c r="AS37">
        <v>710</v>
      </c>
      <c r="AT37">
        <v>600</v>
      </c>
      <c r="AU37">
        <v>640</v>
      </c>
      <c r="AV37">
        <v>690</v>
      </c>
      <c r="AW37">
        <v>30</v>
      </c>
      <c r="AX37">
        <v>31</v>
      </c>
      <c r="AY37">
        <v>33</v>
      </c>
      <c r="AZ37">
        <v>31</v>
      </c>
      <c r="BA37">
        <v>33</v>
      </c>
      <c r="BB37">
        <v>35</v>
      </c>
      <c r="BC37">
        <v>26</v>
      </c>
      <c r="BD37">
        <v>28</v>
      </c>
      <c r="BE37">
        <v>30</v>
      </c>
      <c r="BF37">
        <v>42</v>
      </c>
      <c r="BG37">
        <v>37</v>
      </c>
      <c r="BH37">
        <v>45</v>
      </c>
      <c r="BI37" t="s">
        <v>44</v>
      </c>
      <c r="BJ37" t="s">
        <v>428</v>
      </c>
      <c r="BK37" t="s">
        <v>251</v>
      </c>
      <c r="BL37" t="s">
        <v>88</v>
      </c>
      <c r="BM37" t="s">
        <v>244</v>
      </c>
      <c r="BN37" t="s">
        <v>252</v>
      </c>
      <c r="BO37" t="s">
        <v>503</v>
      </c>
      <c r="BP37" t="s">
        <v>520</v>
      </c>
      <c r="BQ37" t="s">
        <v>556</v>
      </c>
      <c r="BR37" t="s">
        <v>544</v>
      </c>
      <c r="BS37" t="s">
        <v>557</v>
      </c>
      <c r="BT37" t="s">
        <v>543</v>
      </c>
      <c r="BU37" t="s">
        <v>536</v>
      </c>
      <c r="BV37" t="s">
        <v>558</v>
      </c>
      <c r="BW37" t="s">
        <v>528</v>
      </c>
      <c r="BX37" t="s">
        <v>512</v>
      </c>
      <c r="BY37" t="s">
        <v>554</v>
      </c>
      <c r="BZ37" t="s">
        <v>543</v>
      </c>
      <c r="CA37" t="s">
        <v>531</v>
      </c>
    </row>
    <row r="38" spans="1:79" x14ac:dyDescent="0.35">
      <c r="A38">
        <v>166027</v>
      </c>
      <c r="B38" t="s">
        <v>501</v>
      </c>
      <c r="C38" t="s">
        <v>501</v>
      </c>
      <c r="D38" t="s">
        <v>499</v>
      </c>
      <c r="E38" t="s">
        <v>501</v>
      </c>
      <c r="F38" t="s">
        <v>499</v>
      </c>
      <c r="G38" t="s">
        <v>501</v>
      </c>
      <c r="H38" t="s">
        <v>521</v>
      </c>
      <c r="I38" t="s">
        <v>521</v>
      </c>
      <c r="J38" t="s">
        <v>521</v>
      </c>
      <c r="K38" t="s">
        <v>501</v>
      </c>
      <c r="L38" t="s">
        <v>499</v>
      </c>
      <c r="M38" t="s">
        <v>501</v>
      </c>
      <c r="N38">
        <v>56937</v>
      </c>
      <c r="O38">
        <v>26301</v>
      </c>
      <c r="P38">
        <v>30636</v>
      </c>
      <c r="R38">
        <v>0</v>
      </c>
      <c r="S38">
        <v>1965</v>
      </c>
      <c r="T38">
        <v>914</v>
      </c>
      <c r="U38">
        <v>1051</v>
      </c>
      <c r="W38">
        <v>0</v>
      </c>
      <c r="X38">
        <v>1645</v>
      </c>
      <c r="Y38">
        <v>765</v>
      </c>
      <c r="Z38">
        <v>880</v>
      </c>
      <c r="AB38">
        <v>0</v>
      </c>
      <c r="AC38">
        <v>1645</v>
      </c>
      <c r="AD38">
        <v>765</v>
      </c>
      <c r="AE38">
        <v>880</v>
      </c>
      <c r="AG38">
        <v>0</v>
      </c>
      <c r="AM38">
        <v>862</v>
      </c>
      <c r="AN38">
        <v>52</v>
      </c>
      <c r="AO38">
        <v>356</v>
      </c>
      <c r="AP38">
        <v>22</v>
      </c>
      <c r="AQ38">
        <v>740</v>
      </c>
      <c r="AR38">
        <v>760</v>
      </c>
      <c r="AS38">
        <v>780</v>
      </c>
      <c r="AT38">
        <v>760</v>
      </c>
      <c r="AU38">
        <v>790</v>
      </c>
      <c r="AV38">
        <v>800</v>
      </c>
      <c r="AW38">
        <v>34</v>
      </c>
      <c r="AX38">
        <v>35</v>
      </c>
      <c r="AY38">
        <v>36</v>
      </c>
      <c r="AZ38">
        <v>35</v>
      </c>
      <c r="BA38">
        <v>35</v>
      </c>
      <c r="BB38">
        <v>36</v>
      </c>
      <c r="BC38">
        <v>33</v>
      </c>
      <c r="BD38">
        <v>35</v>
      </c>
      <c r="BE38">
        <v>36</v>
      </c>
      <c r="BF38">
        <v>3</v>
      </c>
      <c r="BG38">
        <v>3</v>
      </c>
      <c r="BH38">
        <v>3</v>
      </c>
      <c r="BI38" t="s">
        <v>59</v>
      </c>
      <c r="BJ38" t="s">
        <v>428</v>
      </c>
      <c r="BK38" t="s">
        <v>253</v>
      </c>
      <c r="BL38" t="s">
        <v>99</v>
      </c>
      <c r="BM38" t="s">
        <v>244</v>
      </c>
      <c r="BN38">
        <v>2138</v>
      </c>
      <c r="BO38" t="s">
        <v>503</v>
      </c>
      <c r="BP38" t="s">
        <v>504</v>
      </c>
      <c r="BQ38" t="s">
        <v>505</v>
      </c>
      <c r="BR38" t="s">
        <v>506</v>
      </c>
      <c r="BS38" t="s">
        <v>507</v>
      </c>
      <c r="BT38" t="s">
        <v>508</v>
      </c>
      <c r="BU38" t="s">
        <v>518</v>
      </c>
      <c r="BV38" t="s">
        <v>515</v>
      </c>
      <c r="BW38" t="s">
        <v>528</v>
      </c>
      <c r="BX38" t="s">
        <v>535</v>
      </c>
      <c r="BY38" t="s">
        <v>519</v>
      </c>
      <c r="BZ38" t="s">
        <v>508</v>
      </c>
      <c r="CA38" t="s">
        <v>514</v>
      </c>
    </row>
    <row r="39" spans="1:79" x14ac:dyDescent="0.35">
      <c r="A39">
        <v>166124</v>
      </c>
      <c r="B39" t="s">
        <v>501</v>
      </c>
      <c r="C39" t="s">
        <v>501</v>
      </c>
      <c r="D39" t="s">
        <v>499</v>
      </c>
      <c r="E39" t="s">
        <v>501</v>
      </c>
      <c r="F39" t="s">
        <v>499</v>
      </c>
      <c r="G39" t="s">
        <v>501</v>
      </c>
      <c r="H39" t="s">
        <v>521</v>
      </c>
      <c r="I39" t="s">
        <v>499</v>
      </c>
      <c r="J39" t="s">
        <v>521</v>
      </c>
      <c r="K39" t="s">
        <v>501</v>
      </c>
      <c r="L39" t="s">
        <v>499</v>
      </c>
      <c r="M39" t="s">
        <v>501</v>
      </c>
      <c r="N39">
        <v>8670</v>
      </c>
      <c r="O39">
        <v>4037</v>
      </c>
      <c r="P39">
        <v>4633</v>
      </c>
      <c r="S39">
        <v>1829</v>
      </c>
      <c r="T39">
        <v>835</v>
      </c>
      <c r="U39">
        <v>994</v>
      </c>
      <c r="X39">
        <v>823</v>
      </c>
      <c r="Y39">
        <v>385</v>
      </c>
      <c r="Z39">
        <v>438</v>
      </c>
      <c r="AC39">
        <v>823</v>
      </c>
      <c r="AD39">
        <v>385</v>
      </c>
      <c r="AE39">
        <v>438</v>
      </c>
      <c r="AM39">
        <v>288</v>
      </c>
      <c r="AN39">
        <v>35</v>
      </c>
      <c r="AO39">
        <v>155</v>
      </c>
      <c r="AP39">
        <v>19</v>
      </c>
      <c r="AQ39">
        <v>630</v>
      </c>
      <c r="AR39">
        <v>680</v>
      </c>
      <c r="AS39">
        <v>720</v>
      </c>
      <c r="AT39">
        <v>620</v>
      </c>
      <c r="AU39">
        <v>660</v>
      </c>
      <c r="AV39">
        <v>700</v>
      </c>
      <c r="AW39">
        <v>28</v>
      </c>
      <c r="AX39">
        <v>30</v>
      </c>
      <c r="AY39">
        <v>32</v>
      </c>
      <c r="AZ39">
        <v>26</v>
      </c>
      <c r="BA39">
        <v>31</v>
      </c>
      <c r="BB39">
        <v>34</v>
      </c>
      <c r="BC39">
        <v>25</v>
      </c>
      <c r="BD39">
        <v>28</v>
      </c>
      <c r="BE39">
        <v>30</v>
      </c>
      <c r="BF39">
        <v>21</v>
      </c>
      <c r="BG39">
        <v>21</v>
      </c>
      <c r="BH39">
        <v>21</v>
      </c>
      <c r="BI39" t="s">
        <v>47</v>
      </c>
      <c r="BJ39" t="s">
        <v>428</v>
      </c>
      <c r="BK39" t="s">
        <v>254</v>
      </c>
      <c r="BL39" t="s">
        <v>88</v>
      </c>
      <c r="BM39" t="s">
        <v>244</v>
      </c>
      <c r="BN39" t="s">
        <v>255</v>
      </c>
      <c r="BO39" t="s">
        <v>532</v>
      </c>
      <c r="BP39" t="s">
        <v>533</v>
      </c>
      <c r="BQ39" t="s">
        <v>523</v>
      </c>
      <c r="BR39" t="s">
        <v>524</v>
      </c>
      <c r="BS39" t="s">
        <v>525</v>
      </c>
      <c r="BT39" t="s">
        <v>525</v>
      </c>
      <c r="BU39" t="s">
        <v>526</v>
      </c>
      <c r="BV39" t="s">
        <v>527</v>
      </c>
      <c r="BW39" t="s">
        <v>528</v>
      </c>
      <c r="BX39" t="s">
        <v>529</v>
      </c>
      <c r="BY39" t="s">
        <v>530</v>
      </c>
      <c r="BZ39" t="s">
        <v>525</v>
      </c>
      <c r="CA39" t="s">
        <v>531</v>
      </c>
    </row>
    <row r="40" spans="1:79" x14ac:dyDescent="0.35">
      <c r="A40">
        <v>166683</v>
      </c>
      <c r="B40" t="s">
        <v>501</v>
      </c>
      <c r="C40" t="s">
        <v>501</v>
      </c>
      <c r="D40" t="s">
        <v>499</v>
      </c>
      <c r="E40" t="s">
        <v>501</v>
      </c>
      <c r="F40" t="s">
        <v>499</v>
      </c>
      <c r="G40" t="s">
        <v>500</v>
      </c>
      <c r="H40" t="s">
        <v>499</v>
      </c>
      <c r="I40" t="s">
        <v>521</v>
      </c>
      <c r="J40" t="s">
        <v>502</v>
      </c>
      <c r="K40" t="s">
        <v>501</v>
      </c>
      <c r="L40" t="s">
        <v>499</v>
      </c>
      <c r="M40" t="s">
        <v>500</v>
      </c>
      <c r="N40">
        <v>26904</v>
      </c>
      <c r="O40">
        <v>16568</v>
      </c>
      <c r="P40">
        <v>8939</v>
      </c>
      <c r="Q40">
        <v>660</v>
      </c>
      <c r="R40">
        <v>737</v>
      </c>
      <c r="S40">
        <v>1274</v>
      </c>
      <c r="T40">
        <v>601</v>
      </c>
      <c r="U40">
        <v>630</v>
      </c>
      <c r="V40">
        <v>22</v>
      </c>
      <c r="W40">
        <v>21</v>
      </c>
      <c r="X40">
        <v>1091</v>
      </c>
      <c r="Y40">
        <v>551</v>
      </c>
      <c r="Z40">
        <v>540</v>
      </c>
      <c r="AA40">
        <v>0</v>
      </c>
      <c r="AB40">
        <v>0</v>
      </c>
      <c r="AC40">
        <v>1091</v>
      </c>
      <c r="AD40">
        <v>551</v>
      </c>
      <c r="AE40">
        <v>540</v>
      </c>
      <c r="AG40">
        <v>0</v>
      </c>
      <c r="AM40">
        <v>903</v>
      </c>
      <c r="AN40">
        <v>83</v>
      </c>
      <c r="AO40">
        <v>334</v>
      </c>
      <c r="AP40">
        <v>31</v>
      </c>
      <c r="AQ40">
        <v>730</v>
      </c>
      <c r="AR40">
        <v>760</v>
      </c>
      <c r="AS40">
        <v>780</v>
      </c>
      <c r="AT40">
        <v>780</v>
      </c>
      <c r="AU40">
        <v>790</v>
      </c>
      <c r="AV40">
        <v>800</v>
      </c>
      <c r="AW40">
        <v>34</v>
      </c>
      <c r="AX40">
        <v>35</v>
      </c>
      <c r="AY40">
        <v>36</v>
      </c>
      <c r="AZ40">
        <v>34</v>
      </c>
      <c r="BA40">
        <v>35</v>
      </c>
      <c r="BB40">
        <v>36</v>
      </c>
      <c r="BC40">
        <v>34</v>
      </c>
      <c r="BD40">
        <v>35</v>
      </c>
      <c r="BE40">
        <v>36</v>
      </c>
      <c r="BF40">
        <v>5</v>
      </c>
      <c r="BG40">
        <v>4</v>
      </c>
      <c r="BH40">
        <v>7</v>
      </c>
      <c r="BI40" t="s">
        <v>67</v>
      </c>
      <c r="BJ40" t="s">
        <v>428</v>
      </c>
      <c r="BK40" t="s">
        <v>256</v>
      </c>
      <c r="BL40" t="s">
        <v>99</v>
      </c>
      <c r="BM40" t="s">
        <v>244</v>
      </c>
      <c r="BN40" t="s">
        <v>257</v>
      </c>
      <c r="BO40" t="s">
        <v>503</v>
      </c>
      <c r="BP40" t="s">
        <v>520</v>
      </c>
      <c r="BQ40" t="s">
        <v>505</v>
      </c>
      <c r="BR40" t="s">
        <v>506</v>
      </c>
      <c r="BS40" t="s">
        <v>507</v>
      </c>
      <c r="BT40" t="s">
        <v>508</v>
      </c>
      <c r="BU40" t="s">
        <v>509</v>
      </c>
      <c r="BV40" t="s">
        <v>510</v>
      </c>
      <c r="BW40" t="s">
        <v>528</v>
      </c>
      <c r="BX40" t="s">
        <v>535</v>
      </c>
      <c r="BY40" t="s">
        <v>519</v>
      </c>
      <c r="BZ40" t="s">
        <v>508</v>
      </c>
      <c r="CA40" t="s">
        <v>540</v>
      </c>
    </row>
    <row r="41" spans="1:79" x14ac:dyDescent="0.35">
      <c r="A41">
        <v>167358</v>
      </c>
      <c r="B41" t="s">
        <v>499</v>
      </c>
      <c r="C41" t="s">
        <v>501</v>
      </c>
      <c r="D41" t="s">
        <v>499</v>
      </c>
      <c r="E41" t="s">
        <v>501</v>
      </c>
      <c r="F41" t="s">
        <v>499</v>
      </c>
      <c r="G41" t="s">
        <v>501</v>
      </c>
      <c r="H41" t="s">
        <v>521</v>
      </c>
      <c r="I41" t="s">
        <v>499</v>
      </c>
      <c r="J41" t="s">
        <v>502</v>
      </c>
      <c r="K41" t="s">
        <v>501</v>
      </c>
      <c r="L41" t="s">
        <v>499</v>
      </c>
      <c r="M41" t="s">
        <v>501</v>
      </c>
      <c r="N41">
        <v>96631</v>
      </c>
      <c r="O41">
        <v>41706</v>
      </c>
      <c r="P41">
        <v>54914</v>
      </c>
      <c r="R41">
        <v>11</v>
      </c>
      <c r="S41">
        <v>5459</v>
      </c>
      <c r="T41">
        <v>2203</v>
      </c>
      <c r="U41">
        <v>3251</v>
      </c>
      <c r="W41">
        <v>5</v>
      </c>
      <c r="X41">
        <v>2744</v>
      </c>
      <c r="Y41">
        <v>1107</v>
      </c>
      <c r="Z41">
        <v>1637</v>
      </c>
      <c r="AB41">
        <v>0</v>
      </c>
      <c r="AC41">
        <v>2744</v>
      </c>
      <c r="AD41">
        <v>1107</v>
      </c>
      <c r="AE41">
        <v>1637</v>
      </c>
      <c r="AG41">
        <v>0</v>
      </c>
      <c r="AM41">
        <v>754</v>
      </c>
      <c r="AN41">
        <v>27</v>
      </c>
      <c r="AO41">
        <v>227</v>
      </c>
      <c r="AP41">
        <v>8</v>
      </c>
      <c r="AQ41">
        <v>710</v>
      </c>
      <c r="AR41">
        <v>730</v>
      </c>
      <c r="AS41">
        <v>760</v>
      </c>
      <c r="AT41">
        <v>750</v>
      </c>
      <c r="AU41">
        <v>770</v>
      </c>
      <c r="AV41">
        <v>790</v>
      </c>
      <c r="AW41">
        <v>33</v>
      </c>
      <c r="AX41">
        <v>34</v>
      </c>
      <c r="AY41">
        <v>35</v>
      </c>
      <c r="AZ41">
        <v>33</v>
      </c>
      <c r="BA41">
        <v>35</v>
      </c>
      <c r="BB41">
        <v>35</v>
      </c>
      <c r="BC41">
        <v>31</v>
      </c>
      <c r="BD41">
        <v>33</v>
      </c>
      <c r="BE41">
        <v>35</v>
      </c>
      <c r="BF41">
        <v>6</v>
      </c>
      <c r="BG41">
        <v>5</v>
      </c>
      <c r="BH41">
        <v>6</v>
      </c>
      <c r="BI41" t="s">
        <v>148</v>
      </c>
      <c r="BJ41" t="s">
        <v>429</v>
      </c>
      <c r="BK41" t="s">
        <v>358</v>
      </c>
      <c r="BL41" t="s">
        <v>80</v>
      </c>
      <c r="BM41" t="s">
        <v>244</v>
      </c>
      <c r="BN41" t="s">
        <v>359</v>
      </c>
      <c r="BO41" t="s">
        <v>503</v>
      </c>
      <c r="BP41" t="s">
        <v>504</v>
      </c>
      <c r="BQ41" t="s">
        <v>505</v>
      </c>
      <c r="BR41" t="s">
        <v>544</v>
      </c>
      <c r="BS41" t="s">
        <v>507</v>
      </c>
      <c r="BT41" t="s">
        <v>508</v>
      </c>
      <c r="BU41" t="s">
        <v>559</v>
      </c>
      <c r="BV41" t="s">
        <v>510</v>
      </c>
      <c r="BW41" t="s">
        <v>528</v>
      </c>
      <c r="BX41" t="s">
        <v>512</v>
      </c>
      <c r="BY41" t="s">
        <v>519</v>
      </c>
      <c r="BZ41" t="s">
        <v>508</v>
      </c>
      <c r="CA41" t="s">
        <v>514</v>
      </c>
    </row>
    <row r="42" spans="1:79" x14ac:dyDescent="0.35">
      <c r="A42">
        <v>167835</v>
      </c>
      <c r="B42" t="s">
        <v>501</v>
      </c>
      <c r="C42" t="s">
        <v>501</v>
      </c>
      <c r="D42" t="s">
        <v>499</v>
      </c>
      <c r="E42" t="s">
        <v>501</v>
      </c>
      <c r="F42" t="s">
        <v>499</v>
      </c>
      <c r="G42" t="s">
        <v>500</v>
      </c>
      <c r="H42" t="s">
        <v>521</v>
      </c>
      <c r="I42" t="s">
        <v>499</v>
      </c>
      <c r="J42" t="s">
        <v>502</v>
      </c>
      <c r="K42" t="s">
        <v>501</v>
      </c>
      <c r="L42" t="s">
        <v>499</v>
      </c>
      <c r="M42" t="s">
        <v>501</v>
      </c>
      <c r="N42">
        <v>9869</v>
      </c>
      <c r="O42">
        <v>0</v>
      </c>
      <c r="P42">
        <v>9869</v>
      </c>
      <c r="R42">
        <v>0</v>
      </c>
      <c r="S42">
        <v>1947</v>
      </c>
      <c r="U42">
        <v>1947</v>
      </c>
      <c r="W42">
        <v>0</v>
      </c>
      <c r="X42">
        <v>649</v>
      </c>
      <c r="Z42">
        <v>649</v>
      </c>
      <c r="AB42">
        <v>0</v>
      </c>
      <c r="AC42">
        <v>649</v>
      </c>
      <c r="AE42">
        <v>649</v>
      </c>
      <c r="AG42">
        <v>0</v>
      </c>
      <c r="AM42">
        <v>212</v>
      </c>
      <c r="AN42">
        <v>33</v>
      </c>
      <c r="AO42">
        <v>100</v>
      </c>
      <c r="AP42">
        <v>15</v>
      </c>
      <c r="AQ42">
        <v>718</v>
      </c>
      <c r="AR42">
        <v>750</v>
      </c>
      <c r="AS42">
        <v>770</v>
      </c>
      <c r="AT42">
        <v>690</v>
      </c>
      <c r="AU42">
        <v>730</v>
      </c>
      <c r="AV42">
        <v>770</v>
      </c>
      <c r="AW42">
        <v>32</v>
      </c>
      <c r="AX42">
        <v>33</v>
      </c>
      <c r="AY42">
        <v>34</v>
      </c>
      <c r="AZ42">
        <v>34</v>
      </c>
      <c r="BA42">
        <v>35</v>
      </c>
      <c r="BB42">
        <v>35</v>
      </c>
      <c r="BC42">
        <v>28</v>
      </c>
      <c r="BD42">
        <v>30</v>
      </c>
      <c r="BE42">
        <v>33</v>
      </c>
      <c r="BF42">
        <v>20</v>
      </c>
      <c r="BH42">
        <v>20</v>
      </c>
      <c r="BI42" t="s">
        <v>35</v>
      </c>
      <c r="BJ42" t="s">
        <v>431</v>
      </c>
      <c r="BK42" t="s">
        <v>258</v>
      </c>
      <c r="BL42" t="s">
        <v>112</v>
      </c>
      <c r="BM42" t="s">
        <v>244</v>
      </c>
      <c r="BN42">
        <v>1063</v>
      </c>
      <c r="BO42" t="s">
        <v>503</v>
      </c>
      <c r="BP42" t="s">
        <v>520</v>
      </c>
      <c r="BQ42" t="s">
        <v>523</v>
      </c>
      <c r="BR42" t="s">
        <v>524</v>
      </c>
      <c r="BS42" t="s">
        <v>525</v>
      </c>
      <c r="BT42" t="s">
        <v>525</v>
      </c>
      <c r="BU42" t="s">
        <v>536</v>
      </c>
      <c r="BV42" t="s">
        <v>560</v>
      </c>
      <c r="BW42" t="s">
        <v>528</v>
      </c>
      <c r="BX42" t="s">
        <v>516</v>
      </c>
      <c r="BY42" t="s">
        <v>530</v>
      </c>
      <c r="BZ42" t="s">
        <v>525</v>
      </c>
      <c r="CA42" t="s">
        <v>531</v>
      </c>
    </row>
    <row r="43" spans="1:79" x14ac:dyDescent="0.35">
      <c r="A43">
        <v>168148</v>
      </c>
      <c r="B43" t="s">
        <v>501</v>
      </c>
      <c r="C43" t="s">
        <v>501</v>
      </c>
      <c r="D43" t="s">
        <v>499</v>
      </c>
      <c r="E43" t="s">
        <v>499</v>
      </c>
      <c r="F43" t="s">
        <v>499</v>
      </c>
      <c r="G43" t="s">
        <v>501</v>
      </c>
      <c r="H43" t="s">
        <v>521</v>
      </c>
      <c r="I43" t="s">
        <v>499</v>
      </c>
      <c r="J43" t="s">
        <v>502</v>
      </c>
      <c r="K43" t="s">
        <v>501</v>
      </c>
      <c r="L43" t="s">
        <v>499</v>
      </c>
      <c r="M43" t="s">
        <v>501</v>
      </c>
      <c r="N43">
        <v>34003</v>
      </c>
      <c r="O43">
        <v>13888</v>
      </c>
      <c r="P43">
        <v>18598</v>
      </c>
      <c r="Q43">
        <v>1357</v>
      </c>
      <c r="R43">
        <v>160</v>
      </c>
      <c r="S43">
        <v>3444</v>
      </c>
      <c r="T43">
        <v>1416</v>
      </c>
      <c r="U43">
        <v>1905</v>
      </c>
      <c r="V43">
        <v>123</v>
      </c>
      <c r="W43">
        <v>0</v>
      </c>
      <c r="X43">
        <v>1739</v>
      </c>
      <c r="Y43">
        <v>718</v>
      </c>
      <c r="Z43">
        <v>959</v>
      </c>
      <c r="AA43">
        <v>62</v>
      </c>
      <c r="AB43">
        <v>0</v>
      </c>
      <c r="AC43">
        <v>1739</v>
      </c>
      <c r="AD43">
        <v>718</v>
      </c>
      <c r="AE43">
        <v>959</v>
      </c>
      <c r="AF43">
        <v>62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621</v>
      </c>
      <c r="AN43">
        <v>36</v>
      </c>
      <c r="AO43">
        <v>308</v>
      </c>
      <c r="AP43">
        <v>18</v>
      </c>
      <c r="AQ43">
        <v>710</v>
      </c>
      <c r="AR43">
        <v>740</v>
      </c>
      <c r="AS43">
        <v>760</v>
      </c>
      <c r="AT43">
        <v>750</v>
      </c>
      <c r="AU43">
        <v>770</v>
      </c>
      <c r="AV43">
        <v>790</v>
      </c>
      <c r="AW43">
        <v>33</v>
      </c>
      <c r="AX43">
        <v>34</v>
      </c>
      <c r="AY43">
        <v>35</v>
      </c>
      <c r="BF43">
        <v>10</v>
      </c>
      <c r="BG43">
        <v>10</v>
      </c>
      <c r="BH43">
        <v>10</v>
      </c>
      <c r="BI43" t="s">
        <v>45</v>
      </c>
      <c r="BJ43" t="s">
        <v>430</v>
      </c>
      <c r="BK43" t="s">
        <v>259</v>
      </c>
      <c r="BL43" t="s">
        <v>115</v>
      </c>
      <c r="BM43" t="s">
        <v>244</v>
      </c>
      <c r="BN43" t="s">
        <v>260</v>
      </c>
      <c r="BO43" t="s">
        <v>503</v>
      </c>
      <c r="BP43" t="s">
        <v>504</v>
      </c>
      <c r="BQ43" t="s">
        <v>505</v>
      </c>
      <c r="BR43" t="s">
        <v>506</v>
      </c>
      <c r="BS43" t="s">
        <v>507</v>
      </c>
      <c r="BT43" t="s">
        <v>508</v>
      </c>
      <c r="BU43" t="s">
        <v>518</v>
      </c>
      <c r="BV43" t="s">
        <v>515</v>
      </c>
      <c r="BW43" t="s">
        <v>528</v>
      </c>
      <c r="BX43" t="s">
        <v>512</v>
      </c>
      <c r="BY43" t="s">
        <v>519</v>
      </c>
      <c r="BZ43" t="s">
        <v>508</v>
      </c>
      <c r="CA43" t="s">
        <v>540</v>
      </c>
    </row>
    <row r="44" spans="1:79" x14ac:dyDescent="0.35">
      <c r="A44">
        <v>168218</v>
      </c>
      <c r="B44" t="s">
        <v>501</v>
      </c>
      <c r="C44" t="s">
        <v>501</v>
      </c>
      <c r="D44" t="s">
        <v>499</v>
      </c>
      <c r="E44" t="s">
        <v>501</v>
      </c>
      <c r="F44" t="s">
        <v>499</v>
      </c>
      <c r="G44" t="s">
        <v>501</v>
      </c>
      <c r="H44" t="s">
        <v>521</v>
      </c>
      <c r="I44" t="s">
        <v>521</v>
      </c>
      <c r="J44" t="s">
        <v>502</v>
      </c>
      <c r="K44" t="s">
        <v>501</v>
      </c>
      <c r="L44" t="s">
        <v>499</v>
      </c>
      <c r="M44" t="s">
        <v>501</v>
      </c>
      <c r="N44">
        <v>8184</v>
      </c>
      <c r="O44">
        <v>0</v>
      </c>
      <c r="P44">
        <v>8184</v>
      </c>
      <c r="R44">
        <v>0</v>
      </c>
      <c r="S44">
        <v>1138</v>
      </c>
      <c r="U44">
        <v>1138</v>
      </c>
      <c r="W44">
        <v>0</v>
      </c>
      <c r="X44">
        <v>573</v>
      </c>
      <c r="Z44">
        <v>573</v>
      </c>
      <c r="AB44">
        <v>0</v>
      </c>
      <c r="AC44">
        <v>573</v>
      </c>
      <c r="AE44">
        <v>573</v>
      </c>
      <c r="AG44">
        <v>0</v>
      </c>
      <c r="AM44">
        <v>243</v>
      </c>
      <c r="AN44">
        <v>42</v>
      </c>
      <c r="AO44">
        <v>96</v>
      </c>
      <c r="AP44">
        <v>17</v>
      </c>
      <c r="AQ44">
        <v>720</v>
      </c>
      <c r="AR44">
        <v>750</v>
      </c>
      <c r="AS44">
        <v>770</v>
      </c>
      <c r="AT44">
        <v>720</v>
      </c>
      <c r="AU44">
        <v>760</v>
      </c>
      <c r="AV44">
        <v>780</v>
      </c>
      <c r="AW44">
        <v>33</v>
      </c>
      <c r="AX44">
        <v>34</v>
      </c>
      <c r="AY44">
        <v>35</v>
      </c>
      <c r="AZ44">
        <v>34</v>
      </c>
      <c r="BA44">
        <v>35</v>
      </c>
      <c r="BB44">
        <v>35</v>
      </c>
      <c r="BC44">
        <v>29</v>
      </c>
      <c r="BD44">
        <v>32</v>
      </c>
      <c r="BE44">
        <v>34</v>
      </c>
      <c r="BF44">
        <v>14</v>
      </c>
      <c r="BH44">
        <v>14</v>
      </c>
      <c r="BI44" t="s">
        <v>66</v>
      </c>
      <c r="BJ44" t="s">
        <v>430</v>
      </c>
      <c r="BK44" t="s">
        <v>261</v>
      </c>
      <c r="BL44" t="s">
        <v>20</v>
      </c>
      <c r="BM44" t="s">
        <v>244</v>
      </c>
      <c r="BN44" t="s">
        <v>262</v>
      </c>
      <c r="BO44" t="s">
        <v>532</v>
      </c>
      <c r="BP44" t="s">
        <v>533</v>
      </c>
      <c r="BQ44" t="s">
        <v>523</v>
      </c>
      <c r="BR44" t="s">
        <v>524</v>
      </c>
      <c r="BS44" t="s">
        <v>525</v>
      </c>
      <c r="BT44" t="s">
        <v>525</v>
      </c>
      <c r="BU44" t="s">
        <v>526</v>
      </c>
      <c r="BV44" t="s">
        <v>527</v>
      </c>
      <c r="BW44" t="s">
        <v>528</v>
      </c>
      <c r="BX44" t="s">
        <v>529</v>
      </c>
      <c r="BY44" t="s">
        <v>530</v>
      </c>
      <c r="BZ44" t="s">
        <v>525</v>
      </c>
      <c r="CA44" t="s">
        <v>531</v>
      </c>
    </row>
    <row r="45" spans="1:79" x14ac:dyDescent="0.35">
      <c r="A45">
        <v>168342</v>
      </c>
      <c r="B45" t="s">
        <v>501</v>
      </c>
      <c r="C45" t="s">
        <v>501</v>
      </c>
      <c r="D45" t="s">
        <v>499</v>
      </c>
      <c r="E45" t="s">
        <v>499</v>
      </c>
      <c r="F45" t="s">
        <v>499</v>
      </c>
      <c r="G45" t="s">
        <v>501</v>
      </c>
      <c r="H45" t="s">
        <v>521</v>
      </c>
      <c r="I45" t="s">
        <v>521</v>
      </c>
      <c r="J45" t="s">
        <v>521</v>
      </c>
      <c r="K45" t="s">
        <v>501</v>
      </c>
      <c r="L45" t="s">
        <v>499</v>
      </c>
      <c r="M45" t="s">
        <v>501</v>
      </c>
      <c r="N45">
        <v>11465</v>
      </c>
      <c r="O45">
        <v>5195</v>
      </c>
      <c r="P45">
        <v>5828</v>
      </c>
      <c r="Q45">
        <v>442</v>
      </c>
      <c r="R45">
        <v>0</v>
      </c>
      <c r="S45">
        <v>1145</v>
      </c>
      <c r="T45">
        <v>519</v>
      </c>
      <c r="U45">
        <v>587</v>
      </c>
      <c r="V45">
        <v>39</v>
      </c>
      <c r="W45">
        <v>0</v>
      </c>
      <c r="X45">
        <v>541</v>
      </c>
      <c r="Y45">
        <v>253</v>
      </c>
      <c r="Z45">
        <v>277</v>
      </c>
      <c r="AA45">
        <v>11</v>
      </c>
      <c r="AB45">
        <v>0</v>
      </c>
      <c r="AC45">
        <v>541</v>
      </c>
      <c r="AD45">
        <v>253</v>
      </c>
      <c r="AE45">
        <v>277</v>
      </c>
      <c r="AF45">
        <v>11</v>
      </c>
      <c r="AG45">
        <v>0</v>
      </c>
      <c r="AM45">
        <v>229</v>
      </c>
      <c r="AN45">
        <v>42</v>
      </c>
      <c r="AO45">
        <v>97</v>
      </c>
      <c r="AP45">
        <v>18</v>
      </c>
      <c r="AQ45">
        <v>730</v>
      </c>
      <c r="AR45">
        <v>760</v>
      </c>
      <c r="AS45">
        <v>770</v>
      </c>
      <c r="AT45">
        <v>740</v>
      </c>
      <c r="AU45">
        <v>770</v>
      </c>
      <c r="AV45">
        <v>790</v>
      </c>
      <c r="AW45">
        <v>33</v>
      </c>
      <c r="AX45">
        <v>34</v>
      </c>
      <c r="AY45">
        <v>35</v>
      </c>
      <c r="AZ45">
        <v>34</v>
      </c>
      <c r="BA45">
        <v>35</v>
      </c>
      <c r="BB45">
        <v>35</v>
      </c>
      <c r="BC45">
        <v>31</v>
      </c>
      <c r="BD45">
        <v>33</v>
      </c>
      <c r="BE45">
        <v>35</v>
      </c>
      <c r="BF45">
        <v>10</v>
      </c>
      <c r="BG45">
        <v>10</v>
      </c>
      <c r="BH45">
        <v>10</v>
      </c>
      <c r="BI45" t="s">
        <v>21</v>
      </c>
      <c r="BJ45" t="s">
        <v>433</v>
      </c>
      <c r="BK45" t="s">
        <v>263</v>
      </c>
      <c r="BL45" t="s">
        <v>129</v>
      </c>
      <c r="BM45" t="s">
        <v>244</v>
      </c>
      <c r="BN45">
        <v>1267</v>
      </c>
      <c r="BO45" t="s">
        <v>503</v>
      </c>
      <c r="BP45" t="s">
        <v>522</v>
      </c>
      <c r="BQ45" t="s">
        <v>523</v>
      </c>
      <c r="BR45" t="s">
        <v>524</v>
      </c>
      <c r="BS45" t="s">
        <v>525</v>
      </c>
      <c r="BT45" t="s">
        <v>525</v>
      </c>
      <c r="BU45" t="s">
        <v>536</v>
      </c>
      <c r="BV45" t="s">
        <v>537</v>
      </c>
      <c r="BW45" t="s">
        <v>528</v>
      </c>
      <c r="BX45" t="s">
        <v>538</v>
      </c>
      <c r="BY45" t="s">
        <v>530</v>
      </c>
      <c r="BZ45" t="s">
        <v>525</v>
      </c>
      <c r="CA45" t="s">
        <v>531</v>
      </c>
    </row>
    <row r="46" spans="1:79" x14ac:dyDescent="0.35">
      <c r="A46">
        <v>168421</v>
      </c>
      <c r="B46" t="s">
        <v>501</v>
      </c>
      <c r="C46" t="s">
        <v>501</v>
      </c>
      <c r="D46" t="s">
        <v>499</v>
      </c>
      <c r="E46" t="s">
        <v>499</v>
      </c>
      <c r="F46" t="s">
        <v>499</v>
      </c>
      <c r="G46" t="s">
        <v>500</v>
      </c>
      <c r="H46" t="s">
        <v>502</v>
      </c>
      <c r="I46" t="s">
        <v>499</v>
      </c>
      <c r="J46" t="s">
        <v>502</v>
      </c>
      <c r="K46" t="s">
        <v>501</v>
      </c>
      <c r="L46" t="s">
        <v>499</v>
      </c>
      <c r="M46" t="s">
        <v>501</v>
      </c>
      <c r="N46">
        <v>11809</v>
      </c>
      <c r="O46">
        <v>8344</v>
      </c>
      <c r="P46">
        <v>3464</v>
      </c>
      <c r="R46">
        <v>1</v>
      </c>
      <c r="S46">
        <v>6908</v>
      </c>
      <c r="T46">
        <v>4502</v>
      </c>
      <c r="U46">
        <v>2405</v>
      </c>
      <c r="W46">
        <v>1</v>
      </c>
      <c r="X46">
        <v>1360</v>
      </c>
      <c r="Y46">
        <v>958</v>
      </c>
      <c r="Z46">
        <v>402</v>
      </c>
      <c r="AB46">
        <v>0</v>
      </c>
      <c r="AC46">
        <v>1357</v>
      </c>
      <c r="AD46">
        <v>955</v>
      </c>
      <c r="AE46">
        <v>402</v>
      </c>
      <c r="AG46">
        <v>0</v>
      </c>
      <c r="AH46">
        <v>3</v>
      </c>
      <c r="AI46">
        <v>3</v>
      </c>
      <c r="AJ46">
        <v>0</v>
      </c>
      <c r="AL46">
        <v>0</v>
      </c>
      <c r="BF46">
        <v>58</v>
      </c>
      <c r="BG46">
        <v>54</v>
      </c>
      <c r="BH46">
        <v>69</v>
      </c>
      <c r="BI46" t="s">
        <v>69</v>
      </c>
      <c r="BJ46" t="s">
        <v>428</v>
      </c>
      <c r="BK46" t="s">
        <v>264</v>
      </c>
      <c r="BL46" t="s">
        <v>88</v>
      </c>
      <c r="BM46" t="s">
        <v>244</v>
      </c>
      <c r="BN46" t="s">
        <v>265</v>
      </c>
      <c r="BO46" t="s">
        <v>503</v>
      </c>
      <c r="BP46" t="s">
        <v>520</v>
      </c>
      <c r="BQ46" t="s">
        <v>556</v>
      </c>
      <c r="BR46" t="s">
        <v>541</v>
      </c>
      <c r="BS46" t="s">
        <v>542</v>
      </c>
      <c r="BT46" t="s">
        <v>543</v>
      </c>
      <c r="BU46" t="s">
        <v>559</v>
      </c>
      <c r="BV46" t="s">
        <v>539</v>
      </c>
      <c r="BW46" t="s">
        <v>545</v>
      </c>
      <c r="BX46" t="s">
        <v>516</v>
      </c>
      <c r="BY46" t="s">
        <v>561</v>
      </c>
      <c r="BZ46" t="s">
        <v>543</v>
      </c>
      <c r="CA46" t="s">
        <v>555</v>
      </c>
    </row>
    <row r="47" spans="1:79" x14ac:dyDescent="0.35">
      <c r="A47">
        <v>170976</v>
      </c>
      <c r="B47" t="s">
        <v>501</v>
      </c>
      <c r="C47" t="s">
        <v>501</v>
      </c>
      <c r="D47" t="s">
        <v>499</v>
      </c>
      <c r="E47" t="s">
        <v>501</v>
      </c>
      <c r="F47" t="s">
        <v>499</v>
      </c>
      <c r="G47" t="s">
        <v>500</v>
      </c>
      <c r="H47" t="s">
        <v>521</v>
      </c>
      <c r="I47" t="s">
        <v>499</v>
      </c>
      <c r="J47" t="s">
        <v>502</v>
      </c>
      <c r="K47" t="s">
        <v>501</v>
      </c>
      <c r="L47" t="s">
        <v>499</v>
      </c>
      <c r="M47" t="s">
        <v>500</v>
      </c>
      <c r="N47">
        <v>87632</v>
      </c>
      <c r="O47">
        <v>43607</v>
      </c>
      <c r="P47">
        <v>44025</v>
      </c>
      <c r="R47">
        <v>0</v>
      </c>
      <c r="S47">
        <v>15722</v>
      </c>
      <c r="T47">
        <v>7007</v>
      </c>
      <c r="U47">
        <v>8715</v>
      </c>
      <c r="W47">
        <v>0</v>
      </c>
      <c r="X47">
        <v>7466</v>
      </c>
      <c r="Y47">
        <v>3417</v>
      </c>
      <c r="Z47">
        <v>4049</v>
      </c>
      <c r="AB47">
        <v>0</v>
      </c>
      <c r="AC47">
        <v>7426</v>
      </c>
      <c r="AD47">
        <v>3397</v>
      </c>
      <c r="AE47">
        <v>4029</v>
      </c>
      <c r="AG47">
        <v>0</v>
      </c>
      <c r="AH47">
        <v>40</v>
      </c>
      <c r="AI47">
        <v>20</v>
      </c>
      <c r="AJ47">
        <v>20</v>
      </c>
      <c r="AL47">
        <v>0</v>
      </c>
      <c r="AM47">
        <v>3887</v>
      </c>
      <c r="AN47">
        <v>52</v>
      </c>
      <c r="AO47">
        <v>1364</v>
      </c>
      <c r="AP47">
        <v>18</v>
      </c>
      <c r="AQ47">
        <v>670</v>
      </c>
      <c r="AR47">
        <v>720</v>
      </c>
      <c r="AS47">
        <v>750</v>
      </c>
      <c r="AT47">
        <v>680</v>
      </c>
      <c r="AU47">
        <v>750</v>
      </c>
      <c r="AV47">
        <v>780</v>
      </c>
      <c r="AW47">
        <v>31</v>
      </c>
      <c r="AX47">
        <v>33</v>
      </c>
      <c r="AY47">
        <v>34</v>
      </c>
      <c r="AZ47">
        <v>32</v>
      </c>
      <c r="BA47">
        <v>35</v>
      </c>
      <c r="BB47">
        <v>35</v>
      </c>
      <c r="BC47">
        <v>29</v>
      </c>
      <c r="BD47">
        <v>32</v>
      </c>
      <c r="BE47">
        <v>34</v>
      </c>
      <c r="BF47">
        <v>18</v>
      </c>
      <c r="BG47">
        <v>16</v>
      </c>
      <c r="BH47">
        <v>20</v>
      </c>
      <c r="BI47" t="s">
        <v>149</v>
      </c>
      <c r="BJ47" t="s">
        <v>428</v>
      </c>
      <c r="BK47" t="s">
        <v>477</v>
      </c>
      <c r="BL47" t="s">
        <v>120</v>
      </c>
      <c r="BM47" t="s">
        <v>266</v>
      </c>
      <c r="BN47">
        <v>48109</v>
      </c>
      <c r="BO47" t="s">
        <v>503</v>
      </c>
      <c r="BP47" t="s">
        <v>504</v>
      </c>
      <c r="BQ47" t="s">
        <v>505</v>
      </c>
      <c r="BR47" t="s">
        <v>506</v>
      </c>
      <c r="BS47" t="s">
        <v>507</v>
      </c>
      <c r="BT47" t="s">
        <v>508</v>
      </c>
      <c r="BU47" t="s">
        <v>509</v>
      </c>
      <c r="BV47" t="s">
        <v>515</v>
      </c>
      <c r="BW47" t="s">
        <v>528</v>
      </c>
      <c r="BX47" t="s">
        <v>512</v>
      </c>
      <c r="BY47" t="s">
        <v>513</v>
      </c>
      <c r="BZ47" t="s">
        <v>508</v>
      </c>
      <c r="CA47" t="s">
        <v>514</v>
      </c>
    </row>
    <row r="48" spans="1:79" x14ac:dyDescent="0.35">
      <c r="A48">
        <v>173258</v>
      </c>
      <c r="B48" t="s">
        <v>501</v>
      </c>
      <c r="C48" t="s">
        <v>501</v>
      </c>
      <c r="D48" t="s">
        <v>499</v>
      </c>
      <c r="E48" t="s">
        <v>499</v>
      </c>
      <c r="F48" t="s">
        <v>499</v>
      </c>
      <c r="G48" t="s">
        <v>501</v>
      </c>
      <c r="H48" t="s">
        <v>521</v>
      </c>
      <c r="I48" t="s">
        <v>499</v>
      </c>
      <c r="J48" t="s">
        <v>502</v>
      </c>
      <c r="K48" t="s">
        <v>501</v>
      </c>
      <c r="L48" t="s">
        <v>499</v>
      </c>
      <c r="M48" t="s">
        <v>501</v>
      </c>
      <c r="N48">
        <v>6464</v>
      </c>
      <c r="O48">
        <v>3252</v>
      </c>
      <c r="P48">
        <v>3212</v>
      </c>
      <c r="R48">
        <v>0</v>
      </c>
      <c r="S48">
        <v>1440</v>
      </c>
      <c r="T48">
        <v>668</v>
      </c>
      <c r="U48">
        <v>772</v>
      </c>
      <c r="W48">
        <v>0</v>
      </c>
      <c r="X48">
        <v>538</v>
      </c>
      <c r="Y48">
        <v>260</v>
      </c>
      <c r="Z48">
        <v>278</v>
      </c>
      <c r="AB48">
        <v>0</v>
      </c>
      <c r="AC48">
        <v>538</v>
      </c>
      <c r="AD48">
        <v>260</v>
      </c>
      <c r="AE48">
        <v>278</v>
      </c>
      <c r="AG48">
        <v>0</v>
      </c>
      <c r="AM48">
        <v>163</v>
      </c>
      <c r="AN48">
        <v>30</v>
      </c>
      <c r="AO48">
        <v>145</v>
      </c>
      <c r="AP48">
        <v>27</v>
      </c>
      <c r="AQ48">
        <v>710</v>
      </c>
      <c r="AR48">
        <v>740</v>
      </c>
      <c r="AS48">
        <v>760</v>
      </c>
      <c r="AT48">
        <v>720</v>
      </c>
      <c r="AU48">
        <v>760</v>
      </c>
      <c r="AV48">
        <v>790</v>
      </c>
      <c r="AW48">
        <v>32</v>
      </c>
      <c r="AX48">
        <v>33</v>
      </c>
      <c r="AY48">
        <v>34</v>
      </c>
      <c r="AZ48">
        <v>33</v>
      </c>
      <c r="BA48">
        <v>35</v>
      </c>
      <c r="BB48">
        <v>35</v>
      </c>
      <c r="BC48">
        <v>29</v>
      </c>
      <c r="BD48">
        <v>31</v>
      </c>
      <c r="BE48">
        <v>34</v>
      </c>
      <c r="BF48">
        <v>22</v>
      </c>
      <c r="BG48">
        <v>21</v>
      </c>
      <c r="BH48">
        <v>24</v>
      </c>
      <c r="BI48" t="s">
        <v>38</v>
      </c>
      <c r="BJ48" t="s">
        <v>434</v>
      </c>
      <c r="BK48" t="s">
        <v>267</v>
      </c>
      <c r="BL48" t="s">
        <v>85</v>
      </c>
      <c r="BM48" t="s">
        <v>268</v>
      </c>
      <c r="BN48">
        <v>55057</v>
      </c>
      <c r="BO48" t="s">
        <v>532</v>
      </c>
      <c r="BP48" t="s">
        <v>533</v>
      </c>
      <c r="BQ48" t="s">
        <v>523</v>
      </c>
      <c r="BR48" t="s">
        <v>524</v>
      </c>
      <c r="BS48" t="s">
        <v>525</v>
      </c>
      <c r="BT48" t="s">
        <v>525</v>
      </c>
      <c r="BU48" t="s">
        <v>526</v>
      </c>
      <c r="BV48" t="s">
        <v>527</v>
      </c>
      <c r="BW48" t="s">
        <v>528</v>
      </c>
      <c r="BX48" t="s">
        <v>529</v>
      </c>
      <c r="BY48" t="s">
        <v>530</v>
      </c>
      <c r="BZ48" t="s">
        <v>525</v>
      </c>
      <c r="CA48" t="s">
        <v>531</v>
      </c>
    </row>
    <row r="49" spans="1:79" x14ac:dyDescent="0.35">
      <c r="A49">
        <v>173902</v>
      </c>
      <c r="B49" t="s">
        <v>501</v>
      </c>
      <c r="C49" t="s">
        <v>501</v>
      </c>
      <c r="D49" t="s">
        <v>499</v>
      </c>
      <c r="E49" t="s">
        <v>501</v>
      </c>
      <c r="F49" t="s">
        <v>499</v>
      </c>
      <c r="G49" t="s">
        <v>500</v>
      </c>
      <c r="H49" t="s">
        <v>521</v>
      </c>
      <c r="I49" t="s">
        <v>499</v>
      </c>
      <c r="J49" t="s">
        <v>502</v>
      </c>
      <c r="K49" t="s">
        <v>501</v>
      </c>
      <c r="L49" t="s">
        <v>501</v>
      </c>
      <c r="M49" t="s">
        <v>500</v>
      </c>
      <c r="N49">
        <v>8099</v>
      </c>
      <c r="O49">
        <v>3521</v>
      </c>
      <c r="P49">
        <v>4578</v>
      </c>
      <c r="R49">
        <v>0</v>
      </c>
      <c r="S49">
        <v>2285</v>
      </c>
      <c r="T49">
        <v>894</v>
      </c>
      <c r="U49">
        <v>1391</v>
      </c>
      <c r="W49">
        <v>0</v>
      </c>
      <c r="X49">
        <v>518</v>
      </c>
      <c r="Y49">
        <v>239</v>
      </c>
      <c r="Z49">
        <v>279</v>
      </c>
      <c r="AB49">
        <v>0</v>
      </c>
      <c r="AC49">
        <v>518</v>
      </c>
      <c r="AD49">
        <v>239</v>
      </c>
      <c r="AE49">
        <v>279</v>
      </c>
      <c r="AG49">
        <v>0</v>
      </c>
      <c r="AM49">
        <v>157</v>
      </c>
      <c r="AN49">
        <v>30</v>
      </c>
      <c r="AO49">
        <v>143</v>
      </c>
      <c r="AP49">
        <v>28</v>
      </c>
      <c r="AQ49">
        <v>680</v>
      </c>
      <c r="AR49">
        <v>710</v>
      </c>
      <c r="AS49">
        <v>750</v>
      </c>
      <c r="AT49">
        <v>670</v>
      </c>
      <c r="AU49">
        <v>700</v>
      </c>
      <c r="AV49">
        <v>760</v>
      </c>
      <c r="AW49">
        <v>30</v>
      </c>
      <c r="AX49">
        <v>32</v>
      </c>
      <c r="AY49">
        <v>33</v>
      </c>
      <c r="AZ49">
        <v>30</v>
      </c>
      <c r="BA49">
        <v>33</v>
      </c>
      <c r="BB49">
        <v>35</v>
      </c>
      <c r="BC49">
        <v>26</v>
      </c>
      <c r="BD49">
        <v>29</v>
      </c>
      <c r="BE49">
        <v>32</v>
      </c>
      <c r="BF49">
        <v>28</v>
      </c>
      <c r="BG49">
        <v>25</v>
      </c>
      <c r="BH49">
        <v>30</v>
      </c>
      <c r="BI49" t="s">
        <v>65</v>
      </c>
      <c r="BJ49" t="s">
        <v>429</v>
      </c>
      <c r="BK49" t="s">
        <v>269</v>
      </c>
      <c r="BL49" t="s">
        <v>270</v>
      </c>
      <c r="BM49" t="s">
        <v>268</v>
      </c>
      <c r="BN49" t="s">
        <v>271</v>
      </c>
      <c r="BO49" t="s">
        <v>532</v>
      </c>
      <c r="BP49" t="s">
        <v>533</v>
      </c>
      <c r="BQ49" t="s">
        <v>523</v>
      </c>
      <c r="BR49" t="s">
        <v>524</v>
      </c>
      <c r="BS49" t="s">
        <v>525</v>
      </c>
      <c r="BT49" t="s">
        <v>525</v>
      </c>
      <c r="BU49" t="s">
        <v>526</v>
      </c>
      <c r="BV49" t="s">
        <v>527</v>
      </c>
      <c r="BW49" t="s">
        <v>528</v>
      </c>
      <c r="BX49" t="s">
        <v>529</v>
      </c>
      <c r="BY49" t="s">
        <v>530</v>
      </c>
      <c r="BZ49" t="s">
        <v>525</v>
      </c>
      <c r="CA49" t="s">
        <v>531</v>
      </c>
    </row>
    <row r="50" spans="1:79" x14ac:dyDescent="0.35">
      <c r="A50">
        <v>174066</v>
      </c>
      <c r="B50" t="s">
        <v>501</v>
      </c>
      <c r="C50" t="s">
        <v>501</v>
      </c>
      <c r="D50" t="s">
        <v>499</v>
      </c>
      <c r="E50" t="s">
        <v>499</v>
      </c>
      <c r="F50" t="s">
        <v>501</v>
      </c>
      <c r="G50" t="s">
        <v>500</v>
      </c>
      <c r="H50" t="s">
        <v>521</v>
      </c>
      <c r="I50" t="s">
        <v>499</v>
      </c>
      <c r="J50" t="s">
        <v>502</v>
      </c>
      <c r="K50" t="s">
        <v>501</v>
      </c>
      <c r="L50" t="s">
        <v>501</v>
      </c>
      <c r="M50" t="s">
        <v>500</v>
      </c>
      <c r="N50">
        <v>39863</v>
      </c>
      <c r="O50">
        <v>18901</v>
      </c>
      <c r="P50">
        <v>20862</v>
      </c>
      <c r="R50">
        <v>100</v>
      </c>
      <c r="S50">
        <v>30705</v>
      </c>
      <c r="T50">
        <v>14427</v>
      </c>
      <c r="U50">
        <v>16218</v>
      </c>
      <c r="W50">
        <v>60</v>
      </c>
      <c r="X50">
        <v>6736</v>
      </c>
      <c r="Y50">
        <v>3111</v>
      </c>
      <c r="Z50">
        <v>3610</v>
      </c>
      <c r="AB50">
        <v>15</v>
      </c>
      <c r="AC50">
        <v>6697</v>
      </c>
      <c r="AD50">
        <v>3100</v>
      </c>
      <c r="AE50">
        <v>3582</v>
      </c>
      <c r="AG50">
        <v>15</v>
      </c>
      <c r="AH50">
        <v>39</v>
      </c>
      <c r="AI50">
        <v>11</v>
      </c>
      <c r="AJ50">
        <v>28</v>
      </c>
      <c r="AL50">
        <v>0</v>
      </c>
      <c r="AM50">
        <v>536</v>
      </c>
      <c r="AN50">
        <v>8</v>
      </c>
      <c r="AO50">
        <v>2312</v>
      </c>
      <c r="AP50">
        <v>34</v>
      </c>
      <c r="AQ50">
        <v>640</v>
      </c>
      <c r="AR50">
        <v>680</v>
      </c>
      <c r="AS50">
        <v>720</v>
      </c>
      <c r="AT50">
        <v>670</v>
      </c>
      <c r="AU50">
        <v>720</v>
      </c>
      <c r="AV50">
        <v>760</v>
      </c>
      <c r="AW50">
        <v>27</v>
      </c>
      <c r="AX50">
        <v>29</v>
      </c>
      <c r="AY50">
        <v>31</v>
      </c>
      <c r="AZ50">
        <v>25</v>
      </c>
      <c r="BA50">
        <v>28</v>
      </c>
      <c r="BB50">
        <v>33</v>
      </c>
      <c r="BC50">
        <v>25</v>
      </c>
      <c r="BD50">
        <v>28</v>
      </c>
      <c r="BE50">
        <v>31</v>
      </c>
      <c r="BF50">
        <v>77</v>
      </c>
      <c r="BG50">
        <v>76</v>
      </c>
      <c r="BH50">
        <v>78</v>
      </c>
      <c r="BI50" t="s">
        <v>150</v>
      </c>
      <c r="BJ50" t="s">
        <v>429</v>
      </c>
      <c r="BK50" t="s">
        <v>360</v>
      </c>
      <c r="BL50" t="s">
        <v>361</v>
      </c>
      <c r="BM50" t="s">
        <v>268</v>
      </c>
      <c r="BN50" t="s">
        <v>362</v>
      </c>
      <c r="BO50" t="s">
        <v>503</v>
      </c>
      <c r="BP50" t="s">
        <v>504</v>
      </c>
      <c r="BQ50" t="s">
        <v>505</v>
      </c>
      <c r="BR50" t="s">
        <v>506</v>
      </c>
      <c r="BS50" t="s">
        <v>507</v>
      </c>
      <c r="BT50" t="s">
        <v>508</v>
      </c>
      <c r="BU50" t="s">
        <v>517</v>
      </c>
      <c r="BV50" t="s">
        <v>515</v>
      </c>
      <c r="BW50" t="s">
        <v>511</v>
      </c>
      <c r="BX50" t="s">
        <v>512</v>
      </c>
      <c r="BY50" t="s">
        <v>562</v>
      </c>
      <c r="BZ50" t="s">
        <v>508</v>
      </c>
      <c r="CA50" t="s">
        <v>514</v>
      </c>
    </row>
    <row r="51" spans="1:79" x14ac:dyDescent="0.35">
      <c r="A51">
        <v>179867</v>
      </c>
      <c r="B51" t="s">
        <v>501</v>
      </c>
      <c r="C51" t="s">
        <v>501</v>
      </c>
      <c r="D51" t="s">
        <v>499</v>
      </c>
      <c r="E51" t="s">
        <v>501</v>
      </c>
      <c r="F51" t="s">
        <v>499</v>
      </c>
      <c r="G51" t="s">
        <v>501</v>
      </c>
      <c r="H51" t="s">
        <v>521</v>
      </c>
      <c r="I51" t="s">
        <v>499</v>
      </c>
      <c r="J51" t="s">
        <v>502</v>
      </c>
      <c r="K51" t="s">
        <v>501</v>
      </c>
      <c r="L51" t="s">
        <v>499</v>
      </c>
      <c r="M51" t="s">
        <v>501</v>
      </c>
      <c r="N51">
        <v>32240</v>
      </c>
      <c r="O51">
        <v>15206</v>
      </c>
      <c r="P51">
        <v>17034</v>
      </c>
      <c r="R51">
        <v>0</v>
      </c>
      <c r="S51">
        <v>3855</v>
      </c>
      <c r="T51">
        <v>1847</v>
      </c>
      <c r="U51">
        <v>2008</v>
      </c>
      <c r="W51">
        <v>0</v>
      </c>
      <c r="X51">
        <v>1828</v>
      </c>
      <c r="Y51">
        <v>873</v>
      </c>
      <c r="Z51">
        <v>955</v>
      </c>
      <c r="AB51">
        <v>0</v>
      </c>
      <c r="AC51">
        <v>1823</v>
      </c>
      <c r="AD51">
        <v>871</v>
      </c>
      <c r="AE51">
        <v>952</v>
      </c>
      <c r="AG51">
        <v>0</v>
      </c>
      <c r="AH51">
        <v>5</v>
      </c>
      <c r="AI51">
        <v>2</v>
      </c>
      <c r="AJ51">
        <v>3</v>
      </c>
      <c r="AL51">
        <v>0</v>
      </c>
      <c r="AM51">
        <v>536</v>
      </c>
      <c r="AN51">
        <v>29</v>
      </c>
      <c r="AO51">
        <v>514</v>
      </c>
      <c r="AP51">
        <v>28</v>
      </c>
      <c r="AQ51">
        <v>730</v>
      </c>
      <c r="AR51">
        <v>750</v>
      </c>
      <c r="AS51">
        <v>770</v>
      </c>
      <c r="AT51">
        <v>770</v>
      </c>
      <c r="AU51">
        <v>790</v>
      </c>
      <c r="AV51">
        <v>800</v>
      </c>
      <c r="AW51">
        <v>33</v>
      </c>
      <c r="AX51">
        <v>34</v>
      </c>
      <c r="AY51">
        <v>35</v>
      </c>
      <c r="AZ51">
        <v>34</v>
      </c>
      <c r="BA51">
        <v>35</v>
      </c>
      <c r="BB51">
        <v>35</v>
      </c>
      <c r="BC51">
        <v>31</v>
      </c>
      <c r="BD51">
        <v>34</v>
      </c>
      <c r="BE51">
        <v>35</v>
      </c>
      <c r="BF51">
        <v>12</v>
      </c>
      <c r="BG51">
        <v>12</v>
      </c>
      <c r="BH51">
        <v>12</v>
      </c>
      <c r="BI51" t="s">
        <v>151</v>
      </c>
      <c r="BJ51" t="s">
        <v>430</v>
      </c>
      <c r="BK51" t="s">
        <v>272</v>
      </c>
      <c r="BL51" t="s">
        <v>273</v>
      </c>
      <c r="BM51" t="s">
        <v>274</v>
      </c>
      <c r="BN51" t="s">
        <v>275</v>
      </c>
      <c r="BO51" t="s">
        <v>503</v>
      </c>
      <c r="BP51" t="s">
        <v>504</v>
      </c>
      <c r="BQ51" t="s">
        <v>505</v>
      </c>
      <c r="BR51" t="s">
        <v>506</v>
      </c>
      <c r="BS51" t="s">
        <v>507</v>
      </c>
      <c r="BT51" t="s">
        <v>508</v>
      </c>
      <c r="BU51" t="s">
        <v>509</v>
      </c>
      <c r="BV51" t="s">
        <v>515</v>
      </c>
      <c r="BW51" t="s">
        <v>528</v>
      </c>
      <c r="BX51" t="s">
        <v>512</v>
      </c>
      <c r="BY51" t="s">
        <v>519</v>
      </c>
      <c r="BZ51" t="s">
        <v>508</v>
      </c>
      <c r="CA51" t="s">
        <v>540</v>
      </c>
    </row>
    <row r="52" spans="1:79" x14ac:dyDescent="0.35">
      <c r="A52">
        <v>182670</v>
      </c>
      <c r="B52" t="s">
        <v>499</v>
      </c>
      <c r="C52" t="s">
        <v>501</v>
      </c>
      <c r="D52" t="s">
        <v>499</v>
      </c>
      <c r="E52" t="s">
        <v>499</v>
      </c>
      <c r="F52" t="s">
        <v>499</v>
      </c>
      <c r="G52" t="s">
        <v>501</v>
      </c>
      <c r="H52" t="s">
        <v>521</v>
      </c>
      <c r="I52" t="s">
        <v>499</v>
      </c>
      <c r="J52" t="s">
        <v>502</v>
      </c>
      <c r="K52" t="s">
        <v>501</v>
      </c>
      <c r="L52" t="s">
        <v>499</v>
      </c>
      <c r="M52" t="s">
        <v>501</v>
      </c>
      <c r="N52">
        <v>28841</v>
      </c>
      <c r="O52">
        <v>13262</v>
      </c>
      <c r="P52">
        <v>14820</v>
      </c>
      <c r="Q52">
        <v>759</v>
      </c>
      <c r="R52">
        <v>0</v>
      </c>
      <c r="S52">
        <v>1797</v>
      </c>
      <c r="T52">
        <v>898</v>
      </c>
      <c r="U52">
        <v>858</v>
      </c>
      <c r="V52">
        <v>41</v>
      </c>
      <c r="W52">
        <v>0</v>
      </c>
      <c r="X52">
        <v>1206</v>
      </c>
      <c r="Y52">
        <v>616</v>
      </c>
      <c r="Z52">
        <v>571</v>
      </c>
      <c r="AA52">
        <v>19</v>
      </c>
      <c r="AB52">
        <v>0</v>
      </c>
      <c r="AC52">
        <v>1206</v>
      </c>
      <c r="AD52">
        <v>616</v>
      </c>
      <c r="AE52">
        <v>571</v>
      </c>
      <c r="AF52">
        <v>19</v>
      </c>
      <c r="AG52">
        <v>0</v>
      </c>
      <c r="AM52">
        <v>516</v>
      </c>
      <c r="AN52">
        <v>43</v>
      </c>
      <c r="AO52">
        <v>283</v>
      </c>
      <c r="AP52">
        <v>23</v>
      </c>
      <c r="AQ52">
        <v>740</v>
      </c>
      <c r="AR52">
        <v>760</v>
      </c>
      <c r="AS52">
        <v>780</v>
      </c>
      <c r="AT52">
        <v>760</v>
      </c>
      <c r="AU52">
        <v>780</v>
      </c>
      <c r="AV52">
        <v>790</v>
      </c>
      <c r="AW52">
        <v>33</v>
      </c>
      <c r="AX52">
        <v>34</v>
      </c>
      <c r="AY52">
        <v>35</v>
      </c>
      <c r="AZ52">
        <v>35</v>
      </c>
      <c r="BA52">
        <v>35</v>
      </c>
      <c r="BB52">
        <v>36</v>
      </c>
      <c r="BC52">
        <v>31</v>
      </c>
      <c r="BD52">
        <v>34</v>
      </c>
      <c r="BE52">
        <v>35</v>
      </c>
      <c r="BF52">
        <v>6</v>
      </c>
      <c r="BG52">
        <v>7</v>
      </c>
      <c r="BH52">
        <v>6</v>
      </c>
      <c r="BI52" t="s">
        <v>49</v>
      </c>
      <c r="BJ52" t="s">
        <v>432</v>
      </c>
      <c r="BK52" t="s">
        <v>276</v>
      </c>
      <c r="BL52" t="s">
        <v>92</v>
      </c>
      <c r="BM52" t="s">
        <v>277</v>
      </c>
      <c r="BN52" t="s">
        <v>278</v>
      </c>
      <c r="BO52" t="s">
        <v>503</v>
      </c>
      <c r="BP52" t="s">
        <v>504</v>
      </c>
      <c r="BQ52" t="s">
        <v>556</v>
      </c>
      <c r="BR52" t="s">
        <v>506</v>
      </c>
      <c r="BS52" t="s">
        <v>542</v>
      </c>
      <c r="BT52" t="s">
        <v>508</v>
      </c>
      <c r="BU52" t="s">
        <v>536</v>
      </c>
      <c r="BV52" t="s">
        <v>539</v>
      </c>
      <c r="BW52" t="s">
        <v>528</v>
      </c>
      <c r="BX52" t="s">
        <v>512</v>
      </c>
      <c r="BY52" t="s">
        <v>554</v>
      </c>
      <c r="BZ52" t="s">
        <v>508</v>
      </c>
      <c r="CA52" t="s">
        <v>555</v>
      </c>
    </row>
    <row r="53" spans="1:79" x14ac:dyDescent="0.35">
      <c r="A53">
        <v>186131</v>
      </c>
      <c r="B53" t="s">
        <v>501</v>
      </c>
      <c r="C53" t="s">
        <v>501</v>
      </c>
      <c r="D53" t="s">
        <v>499</v>
      </c>
      <c r="E53" t="s">
        <v>501</v>
      </c>
      <c r="F53" t="s">
        <v>499</v>
      </c>
      <c r="G53" t="s">
        <v>501</v>
      </c>
      <c r="H53" t="s">
        <v>521</v>
      </c>
      <c r="I53" t="s">
        <v>499</v>
      </c>
      <c r="J53" t="s">
        <v>502</v>
      </c>
      <c r="K53" t="s">
        <v>501</v>
      </c>
      <c r="L53" t="s">
        <v>499</v>
      </c>
      <c r="M53" t="s">
        <v>501</v>
      </c>
      <c r="N53">
        <v>39644</v>
      </c>
      <c r="O53">
        <v>19541</v>
      </c>
      <c r="P53">
        <v>20103</v>
      </c>
      <c r="R53">
        <v>0</v>
      </c>
      <c r="S53">
        <v>1782</v>
      </c>
      <c r="T53">
        <v>870</v>
      </c>
      <c r="U53">
        <v>912</v>
      </c>
      <c r="W53">
        <v>0</v>
      </c>
      <c r="X53">
        <v>1366</v>
      </c>
      <c r="Y53">
        <v>670</v>
      </c>
      <c r="Z53">
        <v>696</v>
      </c>
      <c r="AB53">
        <v>0</v>
      </c>
      <c r="AC53">
        <v>1366</v>
      </c>
      <c r="AD53">
        <v>670</v>
      </c>
      <c r="AE53">
        <v>696</v>
      </c>
      <c r="AG53">
        <v>0</v>
      </c>
      <c r="AM53">
        <v>774</v>
      </c>
      <c r="AN53">
        <v>57</v>
      </c>
      <c r="AO53">
        <v>278</v>
      </c>
      <c r="AP53">
        <v>20</v>
      </c>
      <c r="AQ53">
        <v>740</v>
      </c>
      <c r="AR53">
        <v>760</v>
      </c>
      <c r="AS53">
        <v>780</v>
      </c>
      <c r="AT53">
        <v>760</v>
      </c>
      <c r="AU53">
        <v>780</v>
      </c>
      <c r="AV53">
        <v>800</v>
      </c>
      <c r="AW53">
        <v>34</v>
      </c>
      <c r="AX53">
        <v>34</v>
      </c>
      <c r="AY53">
        <v>35</v>
      </c>
      <c r="AZ53">
        <v>35</v>
      </c>
      <c r="BA53">
        <v>35</v>
      </c>
      <c r="BB53">
        <v>36</v>
      </c>
      <c r="BC53">
        <v>32</v>
      </c>
      <c r="BD53">
        <v>34</v>
      </c>
      <c r="BE53">
        <v>35</v>
      </c>
      <c r="BF53">
        <v>4</v>
      </c>
      <c r="BG53">
        <v>4</v>
      </c>
      <c r="BH53">
        <v>5</v>
      </c>
      <c r="BI53" t="s">
        <v>29</v>
      </c>
      <c r="BJ53" t="s">
        <v>431</v>
      </c>
      <c r="BK53" t="s">
        <v>279</v>
      </c>
      <c r="BL53" t="s">
        <v>8</v>
      </c>
      <c r="BM53" t="s">
        <v>280</v>
      </c>
      <c r="BN53" t="s">
        <v>281</v>
      </c>
      <c r="BO53" t="s">
        <v>503</v>
      </c>
      <c r="BP53" t="s">
        <v>520</v>
      </c>
      <c r="BQ53" t="s">
        <v>505</v>
      </c>
      <c r="BR53" t="s">
        <v>506</v>
      </c>
      <c r="BS53" t="s">
        <v>507</v>
      </c>
      <c r="BT53" t="s">
        <v>508</v>
      </c>
      <c r="BU53" t="s">
        <v>509</v>
      </c>
      <c r="BV53" t="s">
        <v>510</v>
      </c>
      <c r="BW53" t="s">
        <v>528</v>
      </c>
      <c r="BX53" t="s">
        <v>512</v>
      </c>
      <c r="BY53" t="s">
        <v>554</v>
      </c>
      <c r="BZ53" t="s">
        <v>508</v>
      </c>
      <c r="CA53" t="s">
        <v>555</v>
      </c>
    </row>
    <row r="54" spans="1:79" x14ac:dyDescent="0.35">
      <c r="A54">
        <v>189088</v>
      </c>
      <c r="B54" t="s">
        <v>499</v>
      </c>
      <c r="C54" t="s">
        <v>501</v>
      </c>
      <c r="D54" t="s">
        <v>499</v>
      </c>
      <c r="E54" t="s">
        <v>500</v>
      </c>
      <c r="F54" t="s">
        <v>499</v>
      </c>
      <c r="G54" t="s">
        <v>501</v>
      </c>
      <c r="H54" t="s">
        <v>521</v>
      </c>
      <c r="I54" t="s">
        <v>499</v>
      </c>
      <c r="J54" t="s">
        <v>502</v>
      </c>
      <c r="K54" t="s">
        <v>501</v>
      </c>
      <c r="L54" t="s">
        <v>499</v>
      </c>
      <c r="M54" t="s">
        <v>500</v>
      </c>
      <c r="N54">
        <v>6628</v>
      </c>
      <c r="O54">
        <v>2289</v>
      </c>
      <c r="P54">
        <v>4339</v>
      </c>
      <c r="R54">
        <v>0</v>
      </c>
      <c r="S54">
        <v>3466</v>
      </c>
      <c r="T54">
        <v>1058</v>
      </c>
      <c r="U54">
        <v>2408</v>
      </c>
      <c r="W54">
        <v>0</v>
      </c>
      <c r="X54">
        <v>402</v>
      </c>
      <c r="Y54">
        <v>151</v>
      </c>
      <c r="Z54">
        <v>251</v>
      </c>
      <c r="AB54">
        <v>0</v>
      </c>
      <c r="AC54">
        <v>402</v>
      </c>
      <c r="AD54">
        <v>151</v>
      </c>
      <c r="AE54">
        <v>251</v>
      </c>
      <c r="AG54">
        <v>0</v>
      </c>
      <c r="AM54">
        <v>52</v>
      </c>
      <c r="AN54">
        <v>13</v>
      </c>
      <c r="AO54">
        <v>37</v>
      </c>
      <c r="AP54">
        <v>9</v>
      </c>
      <c r="AQ54">
        <v>670</v>
      </c>
      <c r="AR54">
        <v>710</v>
      </c>
      <c r="AS54">
        <v>740</v>
      </c>
      <c r="AT54">
        <v>620</v>
      </c>
      <c r="AU54">
        <v>660</v>
      </c>
      <c r="AV54">
        <v>700</v>
      </c>
      <c r="AW54">
        <v>30</v>
      </c>
      <c r="AX54">
        <v>31</v>
      </c>
      <c r="AY54">
        <v>32</v>
      </c>
      <c r="AZ54">
        <v>31</v>
      </c>
      <c r="BA54">
        <v>32</v>
      </c>
      <c r="BB54">
        <v>35</v>
      </c>
      <c r="BC54">
        <v>25</v>
      </c>
      <c r="BD54">
        <v>27</v>
      </c>
      <c r="BE54">
        <v>30</v>
      </c>
      <c r="BF54">
        <v>52</v>
      </c>
      <c r="BG54">
        <v>46</v>
      </c>
      <c r="BH54">
        <v>55</v>
      </c>
      <c r="BI54" t="s">
        <v>24</v>
      </c>
      <c r="BJ54" t="s">
        <v>478</v>
      </c>
      <c r="BK54" t="s">
        <v>282</v>
      </c>
      <c r="BL54" t="s">
        <v>78</v>
      </c>
      <c r="BM54" t="s">
        <v>283</v>
      </c>
      <c r="BN54" t="s">
        <v>284</v>
      </c>
      <c r="BO54" t="s">
        <v>503</v>
      </c>
      <c r="BP54" t="s">
        <v>520</v>
      </c>
      <c r="BQ54" t="s">
        <v>523</v>
      </c>
      <c r="BR54" t="s">
        <v>524</v>
      </c>
      <c r="BS54" t="s">
        <v>525</v>
      </c>
      <c r="BT54" t="s">
        <v>525</v>
      </c>
      <c r="BU54" t="s">
        <v>536</v>
      </c>
      <c r="BV54" t="s">
        <v>560</v>
      </c>
      <c r="BW54" t="s">
        <v>563</v>
      </c>
      <c r="BX54" t="s">
        <v>516</v>
      </c>
      <c r="BY54" t="s">
        <v>530</v>
      </c>
      <c r="BZ54" t="s">
        <v>525</v>
      </c>
      <c r="CA54" t="s">
        <v>531</v>
      </c>
    </row>
    <row r="55" spans="1:79" x14ac:dyDescent="0.35">
      <c r="A55">
        <v>189097</v>
      </c>
      <c r="B55" t="s">
        <v>501</v>
      </c>
      <c r="C55" t="s">
        <v>501</v>
      </c>
      <c r="D55" t="s">
        <v>499</v>
      </c>
      <c r="E55" t="s">
        <v>499</v>
      </c>
      <c r="F55" t="s">
        <v>499</v>
      </c>
      <c r="G55" t="s">
        <v>501</v>
      </c>
      <c r="H55" t="s">
        <v>521</v>
      </c>
      <c r="I55" t="s">
        <v>499</v>
      </c>
      <c r="J55" t="s">
        <v>502</v>
      </c>
      <c r="K55" t="s">
        <v>501</v>
      </c>
      <c r="L55" t="s">
        <v>499</v>
      </c>
      <c r="M55" t="s">
        <v>501</v>
      </c>
      <c r="N55">
        <v>11803</v>
      </c>
      <c r="O55">
        <v>0</v>
      </c>
      <c r="P55">
        <v>11803</v>
      </c>
      <c r="Q55">
        <v>0</v>
      </c>
      <c r="R55">
        <v>0</v>
      </c>
      <c r="S55">
        <v>940</v>
      </c>
      <c r="U55">
        <v>940</v>
      </c>
      <c r="W55">
        <v>0</v>
      </c>
      <c r="X55">
        <v>711</v>
      </c>
      <c r="Z55">
        <v>711</v>
      </c>
      <c r="AB55">
        <v>0</v>
      </c>
      <c r="AC55">
        <v>700</v>
      </c>
      <c r="AE55">
        <v>700</v>
      </c>
      <c r="AG55">
        <v>0</v>
      </c>
      <c r="AH55">
        <v>11</v>
      </c>
      <c r="AJ55">
        <v>11</v>
      </c>
      <c r="AL55">
        <v>0</v>
      </c>
      <c r="AM55">
        <v>238</v>
      </c>
      <c r="AN55">
        <v>33</v>
      </c>
      <c r="AO55">
        <v>121</v>
      </c>
      <c r="AP55">
        <v>17</v>
      </c>
      <c r="AQ55">
        <v>723</v>
      </c>
      <c r="AR55">
        <v>750</v>
      </c>
      <c r="AS55">
        <v>770</v>
      </c>
      <c r="AT55">
        <v>730</v>
      </c>
      <c r="AU55">
        <v>760</v>
      </c>
      <c r="AV55">
        <v>780</v>
      </c>
      <c r="AW55">
        <v>32</v>
      </c>
      <c r="AX55">
        <v>33</v>
      </c>
      <c r="AY55">
        <v>34</v>
      </c>
      <c r="AZ55">
        <v>34</v>
      </c>
      <c r="BA55">
        <v>35</v>
      </c>
      <c r="BB55">
        <v>35</v>
      </c>
      <c r="BC55">
        <v>28</v>
      </c>
      <c r="BD55">
        <v>31</v>
      </c>
      <c r="BE55">
        <v>34</v>
      </c>
      <c r="BF55">
        <v>8</v>
      </c>
      <c r="BH55">
        <v>8</v>
      </c>
      <c r="BI55" t="s">
        <v>26</v>
      </c>
      <c r="BJ55" t="s">
        <v>429</v>
      </c>
      <c r="BK55" t="s">
        <v>285</v>
      </c>
      <c r="BL55" t="s">
        <v>77</v>
      </c>
      <c r="BM55" t="s">
        <v>283</v>
      </c>
      <c r="BN55" t="s">
        <v>286</v>
      </c>
      <c r="BO55" t="s">
        <v>532</v>
      </c>
      <c r="BP55" t="s">
        <v>533</v>
      </c>
      <c r="BQ55" t="s">
        <v>523</v>
      </c>
      <c r="BR55" t="s">
        <v>524</v>
      </c>
      <c r="BS55" t="s">
        <v>525</v>
      </c>
      <c r="BT55" t="s">
        <v>525</v>
      </c>
      <c r="BU55" t="s">
        <v>526</v>
      </c>
      <c r="BV55" t="s">
        <v>527</v>
      </c>
      <c r="BW55" t="s">
        <v>528</v>
      </c>
      <c r="BX55" t="s">
        <v>529</v>
      </c>
      <c r="BY55" t="s">
        <v>530</v>
      </c>
      <c r="BZ55" t="s">
        <v>525</v>
      </c>
      <c r="CA55" t="s">
        <v>531</v>
      </c>
    </row>
    <row r="56" spans="1:79" x14ac:dyDescent="0.35">
      <c r="A56">
        <v>190099</v>
      </c>
      <c r="B56" t="s">
        <v>499</v>
      </c>
      <c r="C56" t="s">
        <v>501</v>
      </c>
      <c r="D56" t="s">
        <v>499</v>
      </c>
      <c r="E56" t="s">
        <v>499</v>
      </c>
      <c r="F56" t="s">
        <v>499</v>
      </c>
      <c r="G56" t="s">
        <v>500</v>
      </c>
      <c r="H56" t="s">
        <v>521</v>
      </c>
      <c r="I56" t="s">
        <v>499</v>
      </c>
      <c r="J56" t="s">
        <v>502</v>
      </c>
      <c r="K56" t="s">
        <v>501</v>
      </c>
      <c r="L56" t="s">
        <v>499</v>
      </c>
      <c r="M56" t="s">
        <v>501</v>
      </c>
      <c r="N56">
        <v>21130</v>
      </c>
      <c r="O56">
        <v>9779</v>
      </c>
      <c r="P56">
        <v>11351</v>
      </c>
      <c r="R56">
        <v>0</v>
      </c>
      <c r="S56">
        <v>2526</v>
      </c>
      <c r="T56">
        <v>1064</v>
      </c>
      <c r="U56">
        <v>1462</v>
      </c>
      <c r="W56">
        <v>0</v>
      </c>
      <c r="X56">
        <v>807</v>
      </c>
      <c r="Y56">
        <v>351</v>
      </c>
      <c r="Z56">
        <v>456</v>
      </c>
      <c r="AB56">
        <v>0</v>
      </c>
      <c r="AC56">
        <v>807</v>
      </c>
      <c r="AD56">
        <v>351</v>
      </c>
      <c r="AE56">
        <v>456</v>
      </c>
      <c r="AG56">
        <v>0</v>
      </c>
      <c r="AM56">
        <v>173</v>
      </c>
      <c r="AN56">
        <v>21</v>
      </c>
      <c r="AO56">
        <v>146</v>
      </c>
      <c r="AP56">
        <v>18</v>
      </c>
      <c r="AQ56">
        <v>710</v>
      </c>
      <c r="AR56">
        <v>730</v>
      </c>
      <c r="AS56">
        <v>750</v>
      </c>
      <c r="AT56">
        <v>720</v>
      </c>
      <c r="AU56">
        <v>750</v>
      </c>
      <c r="AV56">
        <v>780</v>
      </c>
      <c r="AW56">
        <v>33</v>
      </c>
      <c r="AX56">
        <v>33</v>
      </c>
      <c r="AY56">
        <v>34</v>
      </c>
      <c r="AZ56">
        <v>34</v>
      </c>
      <c r="BA56">
        <v>35</v>
      </c>
      <c r="BB56">
        <v>35</v>
      </c>
      <c r="BC56">
        <v>29</v>
      </c>
      <c r="BD56">
        <v>31</v>
      </c>
      <c r="BE56">
        <v>34</v>
      </c>
      <c r="BF56">
        <v>12</v>
      </c>
      <c r="BG56">
        <v>11</v>
      </c>
      <c r="BH56">
        <v>13</v>
      </c>
      <c r="BI56" t="s">
        <v>46</v>
      </c>
      <c r="BJ56" t="s">
        <v>479</v>
      </c>
      <c r="BK56" t="s">
        <v>287</v>
      </c>
      <c r="BL56" t="s">
        <v>4</v>
      </c>
      <c r="BM56" t="s">
        <v>283</v>
      </c>
      <c r="BN56" t="s">
        <v>288</v>
      </c>
      <c r="BO56" t="s">
        <v>503</v>
      </c>
      <c r="BP56" t="s">
        <v>522</v>
      </c>
      <c r="BQ56" t="s">
        <v>523</v>
      </c>
      <c r="BR56" t="s">
        <v>524</v>
      </c>
      <c r="BS56" t="s">
        <v>525</v>
      </c>
      <c r="BT56" t="s">
        <v>525</v>
      </c>
      <c r="BU56" t="s">
        <v>526</v>
      </c>
      <c r="BV56" t="s">
        <v>564</v>
      </c>
      <c r="BW56" t="s">
        <v>528</v>
      </c>
      <c r="BX56" t="s">
        <v>538</v>
      </c>
      <c r="BY56" t="s">
        <v>554</v>
      </c>
      <c r="BZ56" t="s">
        <v>525</v>
      </c>
      <c r="CA56" t="s">
        <v>531</v>
      </c>
    </row>
    <row r="57" spans="1:79" x14ac:dyDescent="0.35">
      <c r="A57">
        <v>190150</v>
      </c>
      <c r="B57" t="s">
        <v>499</v>
      </c>
      <c r="C57" t="s">
        <v>499</v>
      </c>
      <c r="D57" t="s">
        <v>499</v>
      </c>
      <c r="E57" t="s">
        <v>499</v>
      </c>
      <c r="F57" t="s">
        <v>499</v>
      </c>
      <c r="G57" t="s">
        <v>501</v>
      </c>
      <c r="H57" t="s">
        <v>521</v>
      </c>
      <c r="I57" t="s">
        <v>521</v>
      </c>
      <c r="J57" t="s">
        <v>502</v>
      </c>
      <c r="K57" t="s">
        <v>501</v>
      </c>
      <c r="L57" t="s">
        <v>499</v>
      </c>
      <c r="M57" t="s">
        <v>501</v>
      </c>
      <c r="N57">
        <v>57613</v>
      </c>
      <c r="O57">
        <v>23972</v>
      </c>
      <c r="P57">
        <v>32452</v>
      </c>
      <c r="Q57">
        <v>1189</v>
      </c>
      <c r="R57">
        <v>0</v>
      </c>
      <c r="S57">
        <v>2439</v>
      </c>
      <c r="T57">
        <v>1174</v>
      </c>
      <c r="U57">
        <v>1210</v>
      </c>
      <c r="V57">
        <v>55</v>
      </c>
      <c r="W57">
        <v>0</v>
      </c>
      <c r="X57">
        <v>1540</v>
      </c>
      <c r="Y57">
        <v>747</v>
      </c>
      <c r="Z57">
        <v>762</v>
      </c>
      <c r="AA57">
        <v>31</v>
      </c>
      <c r="AB57">
        <v>0</v>
      </c>
      <c r="AC57">
        <v>1500</v>
      </c>
      <c r="AD57">
        <v>726</v>
      </c>
      <c r="AE57">
        <v>743</v>
      </c>
      <c r="AF57">
        <v>31</v>
      </c>
      <c r="AG57">
        <v>0</v>
      </c>
      <c r="AH57">
        <v>40</v>
      </c>
      <c r="AI57">
        <v>21</v>
      </c>
      <c r="AJ57">
        <v>19</v>
      </c>
      <c r="AK57">
        <v>0</v>
      </c>
      <c r="AL57">
        <v>0</v>
      </c>
      <c r="AM57">
        <v>598</v>
      </c>
      <c r="AN57">
        <v>40</v>
      </c>
      <c r="AO57">
        <v>322</v>
      </c>
      <c r="AP57">
        <v>21</v>
      </c>
      <c r="AQ57">
        <v>730</v>
      </c>
      <c r="AR57">
        <v>760</v>
      </c>
      <c r="AS57">
        <v>770</v>
      </c>
      <c r="AT57">
        <v>760</v>
      </c>
      <c r="AU57">
        <v>780</v>
      </c>
      <c r="AV57">
        <v>800</v>
      </c>
      <c r="AW57">
        <v>34</v>
      </c>
      <c r="AX57">
        <v>35</v>
      </c>
      <c r="AY57">
        <v>35</v>
      </c>
      <c r="AZ57">
        <v>35</v>
      </c>
      <c r="BA57">
        <v>35</v>
      </c>
      <c r="BB57">
        <v>36</v>
      </c>
      <c r="BC57">
        <v>32</v>
      </c>
      <c r="BD57">
        <v>34</v>
      </c>
      <c r="BE57">
        <v>35</v>
      </c>
      <c r="BF57">
        <v>4</v>
      </c>
      <c r="BG57">
        <v>5</v>
      </c>
      <c r="BH57">
        <v>4</v>
      </c>
      <c r="BI57" t="s">
        <v>152</v>
      </c>
      <c r="BJ57" t="s">
        <v>429</v>
      </c>
      <c r="BK57" t="s">
        <v>289</v>
      </c>
      <c r="BL57" t="s">
        <v>77</v>
      </c>
      <c r="BM57" t="s">
        <v>283</v>
      </c>
      <c r="BN57">
        <v>10027</v>
      </c>
      <c r="BO57" t="s">
        <v>503</v>
      </c>
      <c r="BP57" t="s">
        <v>504</v>
      </c>
      <c r="BQ57" t="s">
        <v>505</v>
      </c>
      <c r="BR57" t="s">
        <v>506</v>
      </c>
      <c r="BS57" t="s">
        <v>507</v>
      </c>
      <c r="BT57" t="s">
        <v>508</v>
      </c>
      <c r="BU57" t="s">
        <v>518</v>
      </c>
      <c r="BV57" t="s">
        <v>515</v>
      </c>
      <c r="BW57" t="s">
        <v>511</v>
      </c>
      <c r="BX57" t="s">
        <v>535</v>
      </c>
      <c r="BY57" t="s">
        <v>519</v>
      </c>
      <c r="BZ57" t="s">
        <v>508</v>
      </c>
      <c r="CA57" t="s">
        <v>514</v>
      </c>
    </row>
    <row r="58" spans="1:79" x14ac:dyDescent="0.35">
      <c r="A58">
        <v>190415</v>
      </c>
      <c r="B58" t="s">
        <v>501</v>
      </c>
      <c r="C58" t="s">
        <v>501</v>
      </c>
      <c r="D58" t="s">
        <v>499</v>
      </c>
      <c r="E58" t="s">
        <v>501</v>
      </c>
      <c r="F58" t="s">
        <v>499</v>
      </c>
      <c r="G58" t="s">
        <v>501</v>
      </c>
      <c r="H58" t="s">
        <v>521</v>
      </c>
      <c r="I58" t="s">
        <v>499</v>
      </c>
      <c r="J58" t="s">
        <v>521</v>
      </c>
      <c r="K58" t="s">
        <v>501</v>
      </c>
      <c r="L58" t="s">
        <v>499</v>
      </c>
      <c r="M58" t="s">
        <v>501</v>
      </c>
      <c r="N58">
        <v>65635</v>
      </c>
      <c r="O58">
        <v>32718</v>
      </c>
      <c r="P58">
        <v>32917</v>
      </c>
      <c r="R58">
        <v>0</v>
      </c>
      <c r="S58">
        <v>5358</v>
      </c>
      <c r="T58">
        <v>2459</v>
      </c>
      <c r="U58">
        <v>2899</v>
      </c>
      <c r="W58">
        <v>0</v>
      </c>
      <c r="X58">
        <v>3537</v>
      </c>
      <c r="Y58">
        <v>1642</v>
      </c>
      <c r="Z58">
        <v>1895</v>
      </c>
      <c r="AB58">
        <v>0</v>
      </c>
      <c r="AC58">
        <v>3537</v>
      </c>
      <c r="AD58">
        <v>1642</v>
      </c>
      <c r="AE58">
        <v>1895</v>
      </c>
      <c r="AG58">
        <v>0</v>
      </c>
      <c r="AM58">
        <v>1294</v>
      </c>
      <c r="AN58">
        <v>37</v>
      </c>
      <c r="AO58">
        <v>425</v>
      </c>
      <c r="AP58">
        <v>12</v>
      </c>
      <c r="AQ58">
        <v>720</v>
      </c>
      <c r="AR58">
        <v>740</v>
      </c>
      <c r="AS58">
        <v>770</v>
      </c>
      <c r="AT58">
        <v>760</v>
      </c>
      <c r="AU58">
        <v>780</v>
      </c>
      <c r="AV58">
        <v>790</v>
      </c>
      <c r="AW58">
        <v>33</v>
      </c>
      <c r="AX58">
        <v>34</v>
      </c>
      <c r="AY58">
        <v>35</v>
      </c>
      <c r="AZ58">
        <v>34</v>
      </c>
      <c r="BA58">
        <v>35</v>
      </c>
      <c r="BB58">
        <v>35</v>
      </c>
      <c r="BC58">
        <v>32</v>
      </c>
      <c r="BD58">
        <v>34</v>
      </c>
      <c r="BE58">
        <v>35</v>
      </c>
      <c r="BF58">
        <v>8</v>
      </c>
      <c r="BG58">
        <v>8</v>
      </c>
      <c r="BH58">
        <v>9</v>
      </c>
      <c r="BI58" t="s">
        <v>48</v>
      </c>
      <c r="BJ58" t="s">
        <v>431</v>
      </c>
      <c r="BK58" t="s">
        <v>290</v>
      </c>
      <c r="BL58" t="s">
        <v>91</v>
      </c>
      <c r="BM58" t="s">
        <v>283</v>
      </c>
      <c r="BN58">
        <v>14853</v>
      </c>
      <c r="BO58" t="s">
        <v>503</v>
      </c>
      <c r="BP58" t="s">
        <v>504</v>
      </c>
      <c r="BQ58" t="s">
        <v>505</v>
      </c>
      <c r="BR58" t="s">
        <v>506</v>
      </c>
      <c r="BS58" t="s">
        <v>507</v>
      </c>
      <c r="BT58" t="s">
        <v>508</v>
      </c>
      <c r="BU58" t="s">
        <v>517</v>
      </c>
      <c r="BV58" t="s">
        <v>515</v>
      </c>
      <c r="BW58" t="s">
        <v>528</v>
      </c>
      <c r="BX58" t="s">
        <v>512</v>
      </c>
      <c r="BY58" t="s">
        <v>513</v>
      </c>
      <c r="BZ58" t="s">
        <v>508</v>
      </c>
      <c r="CA58" t="s">
        <v>514</v>
      </c>
    </row>
    <row r="59" spans="1:79" x14ac:dyDescent="0.35">
      <c r="A59">
        <v>191515</v>
      </c>
      <c r="B59" t="s">
        <v>501</v>
      </c>
      <c r="C59" t="s">
        <v>501</v>
      </c>
      <c r="D59" t="s">
        <v>499</v>
      </c>
      <c r="E59" t="s">
        <v>499</v>
      </c>
      <c r="F59" t="s">
        <v>499</v>
      </c>
      <c r="G59" t="s">
        <v>500</v>
      </c>
      <c r="H59" t="s">
        <v>521</v>
      </c>
      <c r="I59" t="s">
        <v>499</v>
      </c>
      <c r="J59" t="s">
        <v>521</v>
      </c>
      <c r="K59" t="s">
        <v>501</v>
      </c>
      <c r="L59" t="s">
        <v>499</v>
      </c>
      <c r="M59" t="s">
        <v>501</v>
      </c>
      <c r="N59">
        <v>9643</v>
      </c>
      <c r="O59">
        <v>4262</v>
      </c>
      <c r="P59">
        <v>5023</v>
      </c>
      <c r="Q59">
        <v>358</v>
      </c>
      <c r="R59">
        <v>0</v>
      </c>
      <c r="S59">
        <v>1135</v>
      </c>
      <c r="T59">
        <v>529</v>
      </c>
      <c r="U59">
        <v>586</v>
      </c>
      <c r="V59">
        <v>20</v>
      </c>
      <c r="W59">
        <v>0</v>
      </c>
      <c r="X59">
        <v>462</v>
      </c>
      <c r="Y59">
        <v>222</v>
      </c>
      <c r="Z59">
        <v>230</v>
      </c>
      <c r="AA59">
        <v>10</v>
      </c>
      <c r="AB59">
        <v>0</v>
      </c>
      <c r="AC59">
        <v>462</v>
      </c>
      <c r="AD59">
        <v>222</v>
      </c>
      <c r="AE59">
        <v>230</v>
      </c>
      <c r="AF59">
        <v>10</v>
      </c>
      <c r="AG59">
        <v>0</v>
      </c>
      <c r="AM59">
        <v>156</v>
      </c>
      <c r="AN59">
        <v>34</v>
      </c>
      <c r="AO59">
        <v>78</v>
      </c>
      <c r="AP59">
        <v>17</v>
      </c>
      <c r="AQ59">
        <v>700</v>
      </c>
      <c r="AR59">
        <v>740</v>
      </c>
      <c r="AS59">
        <v>770</v>
      </c>
      <c r="AT59">
        <v>710</v>
      </c>
      <c r="AU59">
        <v>750</v>
      </c>
      <c r="AV59">
        <v>780</v>
      </c>
      <c r="AW59">
        <v>32</v>
      </c>
      <c r="AX59">
        <v>33</v>
      </c>
      <c r="AY59">
        <v>35</v>
      </c>
      <c r="BF59">
        <v>12</v>
      </c>
      <c r="BG59">
        <v>12</v>
      </c>
      <c r="BH59">
        <v>12</v>
      </c>
      <c r="BI59" t="s">
        <v>153</v>
      </c>
      <c r="BJ59" t="s">
        <v>435</v>
      </c>
      <c r="BK59" t="s">
        <v>291</v>
      </c>
      <c r="BL59" t="s">
        <v>98</v>
      </c>
      <c r="BM59" t="s">
        <v>283</v>
      </c>
      <c r="BN59">
        <v>13323</v>
      </c>
      <c r="BO59" t="s">
        <v>532</v>
      </c>
      <c r="BP59" t="s">
        <v>533</v>
      </c>
      <c r="BQ59" t="s">
        <v>523</v>
      </c>
      <c r="BR59" t="s">
        <v>524</v>
      </c>
      <c r="BS59" t="s">
        <v>525</v>
      </c>
      <c r="BT59" t="s">
        <v>525</v>
      </c>
      <c r="BU59" t="s">
        <v>526</v>
      </c>
      <c r="BV59" t="s">
        <v>527</v>
      </c>
      <c r="BW59" t="s">
        <v>528</v>
      </c>
      <c r="BX59" t="s">
        <v>529</v>
      </c>
      <c r="BY59" t="s">
        <v>530</v>
      </c>
      <c r="BZ59" t="s">
        <v>525</v>
      </c>
      <c r="CA59" t="s">
        <v>531</v>
      </c>
    </row>
    <row r="60" spans="1:79" x14ac:dyDescent="0.35">
      <c r="A60">
        <v>193900</v>
      </c>
      <c r="B60" t="s">
        <v>499</v>
      </c>
      <c r="C60" t="s">
        <v>500</v>
      </c>
      <c r="D60" t="s">
        <v>499</v>
      </c>
      <c r="E60" t="s">
        <v>501</v>
      </c>
      <c r="F60" t="s">
        <v>499</v>
      </c>
      <c r="G60" t="s">
        <v>499</v>
      </c>
      <c r="H60" t="s">
        <v>521</v>
      </c>
      <c r="I60" t="s">
        <v>521</v>
      </c>
      <c r="J60" t="s">
        <v>521</v>
      </c>
      <c r="K60" t="s">
        <v>501</v>
      </c>
      <c r="L60" t="s">
        <v>499</v>
      </c>
      <c r="M60" t="s">
        <v>500</v>
      </c>
      <c r="N60">
        <v>113578</v>
      </c>
      <c r="O60">
        <v>45117</v>
      </c>
      <c r="P60">
        <v>68457</v>
      </c>
      <c r="S60">
        <v>10693</v>
      </c>
      <c r="T60">
        <v>4256</v>
      </c>
      <c r="U60">
        <v>6433</v>
      </c>
      <c r="X60">
        <v>5818</v>
      </c>
      <c r="Y60">
        <v>2452</v>
      </c>
      <c r="Z60">
        <v>3362</v>
      </c>
      <c r="AC60">
        <v>5802</v>
      </c>
      <c r="AD60">
        <v>2442</v>
      </c>
      <c r="AE60">
        <v>3356</v>
      </c>
      <c r="AH60">
        <v>16</v>
      </c>
      <c r="AI60">
        <v>10</v>
      </c>
      <c r="AJ60">
        <v>6</v>
      </c>
      <c r="AM60">
        <v>1579</v>
      </c>
      <c r="AN60">
        <v>27</v>
      </c>
      <c r="AO60">
        <v>690</v>
      </c>
      <c r="AP60">
        <v>12</v>
      </c>
      <c r="AQ60">
        <v>720</v>
      </c>
      <c r="AR60">
        <v>750</v>
      </c>
      <c r="AS60">
        <v>770</v>
      </c>
      <c r="AT60">
        <v>760</v>
      </c>
      <c r="AU60">
        <v>780</v>
      </c>
      <c r="AV60">
        <v>800</v>
      </c>
      <c r="AW60">
        <v>33</v>
      </c>
      <c r="AX60">
        <v>34</v>
      </c>
      <c r="AY60">
        <v>35</v>
      </c>
      <c r="BF60">
        <v>9</v>
      </c>
      <c r="BG60">
        <v>9</v>
      </c>
      <c r="BH60">
        <v>9</v>
      </c>
      <c r="BI60" t="s">
        <v>7</v>
      </c>
      <c r="BJ60" t="s">
        <v>429</v>
      </c>
      <c r="BK60" t="s">
        <v>292</v>
      </c>
      <c r="BL60" t="s">
        <v>77</v>
      </c>
      <c r="BM60" t="s">
        <v>283</v>
      </c>
      <c r="BN60" t="s">
        <v>293</v>
      </c>
      <c r="BO60" t="s">
        <v>503</v>
      </c>
      <c r="BP60" t="s">
        <v>504</v>
      </c>
      <c r="BQ60" t="s">
        <v>505</v>
      </c>
      <c r="BR60" t="s">
        <v>506</v>
      </c>
      <c r="BS60" t="s">
        <v>507</v>
      </c>
      <c r="BT60" t="s">
        <v>508</v>
      </c>
      <c r="BU60" t="s">
        <v>509</v>
      </c>
      <c r="BV60" t="s">
        <v>515</v>
      </c>
      <c r="BW60" t="s">
        <v>528</v>
      </c>
      <c r="BX60" t="s">
        <v>512</v>
      </c>
      <c r="BY60" t="s">
        <v>513</v>
      </c>
      <c r="BZ60" t="s">
        <v>508</v>
      </c>
      <c r="CA60" t="s">
        <v>514</v>
      </c>
    </row>
    <row r="61" spans="1:79" x14ac:dyDescent="0.35">
      <c r="A61">
        <v>194824</v>
      </c>
      <c r="B61" t="s">
        <v>499</v>
      </c>
      <c r="C61" t="s">
        <v>499</v>
      </c>
      <c r="D61" t="s">
        <v>499</v>
      </c>
      <c r="E61" t="s">
        <v>499</v>
      </c>
      <c r="F61" t="s">
        <v>499</v>
      </c>
      <c r="G61" t="s">
        <v>499</v>
      </c>
      <c r="H61" t="s">
        <v>521</v>
      </c>
      <c r="I61" t="s">
        <v>499</v>
      </c>
      <c r="J61" t="s">
        <v>502</v>
      </c>
      <c r="K61" t="s">
        <v>501</v>
      </c>
      <c r="L61" t="s">
        <v>499</v>
      </c>
      <c r="M61" t="s">
        <v>500</v>
      </c>
      <c r="N61">
        <v>16283</v>
      </c>
      <c r="O61">
        <v>10790</v>
      </c>
      <c r="P61">
        <v>5485</v>
      </c>
      <c r="Q61">
        <v>8</v>
      </c>
      <c r="R61">
        <v>0</v>
      </c>
      <c r="S61">
        <v>9517</v>
      </c>
      <c r="T61">
        <v>6315</v>
      </c>
      <c r="U61">
        <v>3202</v>
      </c>
      <c r="V61">
        <v>0</v>
      </c>
      <c r="W61">
        <v>0</v>
      </c>
      <c r="X61">
        <v>1552</v>
      </c>
      <c r="Y61">
        <v>1035</v>
      </c>
      <c r="Z61">
        <v>517</v>
      </c>
      <c r="AB61">
        <v>0</v>
      </c>
      <c r="AC61">
        <v>1552</v>
      </c>
      <c r="AD61">
        <v>1035</v>
      </c>
      <c r="AE61">
        <v>517</v>
      </c>
      <c r="AG61">
        <v>0</v>
      </c>
      <c r="AM61">
        <v>881</v>
      </c>
      <c r="AN61">
        <v>57</v>
      </c>
      <c r="AO61">
        <v>197</v>
      </c>
      <c r="AP61">
        <v>13</v>
      </c>
      <c r="AQ61">
        <v>650</v>
      </c>
      <c r="AR61">
        <v>680</v>
      </c>
      <c r="AS61">
        <v>730</v>
      </c>
      <c r="AT61">
        <v>680</v>
      </c>
      <c r="AU61">
        <v>730</v>
      </c>
      <c r="AV61">
        <v>770</v>
      </c>
      <c r="AW61">
        <v>30</v>
      </c>
      <c r="AX61">
        <v>32</v>
      </c>
      <c r="AY61">
        <v>34</v>
      </c>
      <c r="BF61">
        <v>58</v>
      </c>
      <c r="BG61">
        <v>59</v>
      </c>
      <c r="BH61">
        <v>58</v>
      </c>
      <c r="BI61" t="s">
        <v>76</v>
      </c>
      <c r="BJ61" t="s">
        <v>431</v>
      </c>
      <c r="BK61" t="s">
        <v>294</v>
      </c>
      <c r="BL61" t="s">
        <v>108</v>
      </c>
      <c r="BM61" t="s">
        <v>283</v>
      </c>
      <c r="BN61" t="s">
        <v>295</v>
      </c>
      <c r="BO61" t="s">
        <v>503</v>
      </c>
      <c r="BP61" t="s">
        <v>520</v>
      </c>
      <c r="BQ61" t="s">
        <v>505</v>
      </c>
      <c r="BR61" t="s">
        <v>506</v>
      </c>
      <c r="BS61" t="s">
        <v>542</v>
      </c>
      <c r="BT61" t="s">
        <v>508</v>
      </c>
      <c r="BU61" t="s">
        <v>559</v>
      </c>
      <c r="BV61" t="s">
        <v>539</v>
      </c>
      <c r="BW61" t="s">
        <v>528</v>
      </c>
      <c r="BX61" t="s">
        <v>516</v>
      </c>
      <c r="BY61" t="s">
        <v>554</v>
      </c>
      <c r="BZ61" t="s">
        <v>508</v>
      </c>
      <c r="CA61" t="s">
        <v>555</v>
      </c>
    </row>
    <row r="62" spans="1:79" x14ac:dyDescent="0.35">
      <c r="A62">
        <v>195003</v>
      </c>
      <c r="B62" t="s">
        <v>499</v>
      </c>
      <c r="C62" t="s">
        <v>501</v>
      </c>
      <c r="D62" t="s">
        <v>499</v>
      </c>
      <c r="E62" t="s">
        <v>499</v>
      </c>
      <c r="F62" t="s">
        <v>499</v>
      </c>
      <c r="G62" t="s">
        <v>501</v>
      </c>
      <c r="H62" t="s">
        <v>521</v>
      </c>
      <c r="I62" t="s">
        <v>499</v>
      </c>
      <c r="J62" t="s">
        <v>502</v>
      </c>
      <c r="K62" t="s">
        <v>500</v>
      </c>
      <c r="L62" t="s">
        <v>499</v>
      </c>
      <c r="M62" t="s">
        <v>500</v>
      </c>
      <c r="N62">
        <v>24269</v>
      </c>
      <c r="O62">
        <v>14374</v>
      </c>
      <c r="P62">
        <v>9894</v>
      </c>
      <c r="R62">
        <v>1</v>
      </c>
      <c r="S62">
        <v>17328</v>
      </c>
      <c r="T62">
        <v>10135</v>
      </c>
      <c r="U62">
        <v>7193</v>
      </c>
      <c r="W62">
        <v>0</v>
      </c>
      <c r="X62">
        <v>3056</v>
      </c>
      <c r="Y62">
        <v>1970</v>
      </c>
      <c r="Z62">
        <v>1086</v>
      </c>
      <c r="AB62">
        <v>0</v>
      </c>
      <c r="AC62">
        <v>3053</v>
      </c>
      <c r="AD62">
        <v>1969</v>
      </c>
      <c r="AE62">
        <v>1084</v>
      </c>
      <c r="AG62">
        <v>0</v>
      </c>
      <c r="AH62">
        <v>3</v>
      </c>
      <c r="AI62">
        <v>1</v>
      </c>
      <c r="AJ62">
        <v>2</v>
      </c>
      <c r="AL62">
        <v>0</v>
      </c>
      <c r="AM62">
        <v>1299</v>
      </c>
      <c r="AN62">
        <v>43</v>
      </c>
      <c r="AO62">
        <v>308</v>
      </c>
      <c r="AP62">
        <v>10</v>
      </c>
      <c r="AQ62">
        <v>640</v>
      </c>
      <c r="AR62">
        <v>680</v>
      </c>
      <c r="AS62">
        <v>720</v>
      </c>
      <c r="AT62">
        <v>640</v>
      </c>
      <c r="AU62">
        <v>690</v>
      </c>
      <c r="AV62">
        <v>740</v>
      </c>
      <c r="AW62">
        <v>29</v>
      </c>
      <c r="AX62">
        <v>31</v>
      </c>
      <c r="AY62">
        <v>33</v>
      </c>
      <c r="AZ62">
        <v>28</v>
      </c>
      <c r="BA62">
        <v>32</v>
      </c>
      <c r="BB62">
        <v>35</v>
      </c>
      <c r="BC62">
        <v>27</v>
      </c>
      <c r="BD62">
        <v>29</v>
      </c>
      <c r="BE62">
        <v>32</v>
      </c>
      <c r="BF62">
        <v>71</v>
      </c>
      <c r="BG62">
        <v>71</v>
      </c>
      <c r="BH62">
        <v>73</v>
      </c>
      <c r="BI62" t="s">
        <v>9</v>
      </c>
      <c r="BJ62" t="s">
        <v>430</v>
      </c>
      <c r="BK62" t="s">
        <v>296</v>
      </c>
      <c r="BL62" t="s">
        <v>109</v>
      </c>
      <c r="BM62" t="s">
        <v>283</v>
      </c>
      <c r="BN62" t="s">
        <v>297</v>
      </c>
      <c r="BO62" t="s">
        <v>503</v>
      </c>
      <c r="BP62" t="s">
        <v>520</v>
      </c>
      <c r="BQ62" t="s">
        <v>547</v>
      </c>
      <c r="BR62" t="s">
        <v>565</v>
      </c>
      <c r="BS62" t="s">
        <v>557</v>
      </c>
      <c r="BT62" t="s">
        <v>543</v>
      </c>
      <c r="BU62" t="s">
        <v>559</v>
      </c>
      <c r="BV62" t="s">
        <v>539</v>
      </c>
      <c r="BW62" t="s">
        <v>528</v>
      </c>
      <c r="BX62" t="s">
        <v>516</v>
      </c>
      <c r="BY62" t="s">
        <v>519</v>
      </c>
      <c r="BZ62" t="s">
        <v>543</v>
      </c>
      <c r="CA62" t="s">
        <v>540</v>
      </c>
    </row>
    <row r="63" spans="1:79" x14ac:dyDescent="0.35">
      <c r="A63">
        <v>195030</v>
      </c>
      <c r="B63" t="s">
        <v>501</v>
      </c>
      <c r="C63" t="s">
        <v>501</v>
      </c>
      <c r="D63" t="s">
        <v>499</v>
      </c>
      <c r="E63" t="s">
        <v>499</v>
      </c>
      <c r="F63" t="s">
        <v>499</v>
      </c>
      <c r="G63" t="s">
        <v>500</v>
      </c>
      <c r="H63" t="s">
        <v>521</v>
      </c>
      <c r="I63" t="s">
        <v>499</v>
      </c>
      <c r="J63" t="s">
        <v>502</v>
      </c>
      <c r="K63" t="s">
        <v>501</v>
      </c>
      <c r="L63" t="s">
        <v>499</v>
      </c>
      <c r="M63" t="s">
        <v>501</v>
      </c>
      <c r="N63">
        <v>21680</v>
      </c>
      <c r="O63">
        <v>10857</v>
      </c>
      <c r="P63">
        <v>10823</v>
      </c>
      <c r="S63">
        <v>7773</v>
      </c>
      <c r="T63">
        <v>3404</v>
      </c>
      <c r="U63">
        <v>4369</v>
      </c>
      <c r="X63">
        <v>1543</v>
      </c>
      <c r="Y63">
        <v>739</v>
      </c>
      <c r="Z63">
        <v>804</v>
      </c>
      <c r="AC63">
        <v>1543</v>
      </c>
      <c r="AD63">
        <v>739</v>
      </c>
      <c r="AE63">
        <v>804</v>
      </c>
      <c r="AM63">
        <v>396</v>
      </c>
      <c r="AN63">
        <v>26</v>
      </c>
      <c r="AO63">
        <v>154</v>
      </c>
      <c r="AP63">
        <v>10</v>
      </c>
      <c r="AQ63">
        <v>690</v>
      </c>
      <c r="AR63">
        <v>720</v>
      </c>
      <c r="AS63">
        <v>750</v>
      </c>
      <c r="AT63">
        <v>710</v>
      </c>
      <c r="AU63">
        <v>760</v>
      </c>
      <c r="AV63">
        <v>790</v>
      </c>
      <c r="AW63">
        <v>31</v>
      </c>
      <c r="AX63">
        <v>33</v>
      </c>
      <c r="AY63">
        <v>34</v>
      </c>
      <c r="AZ63">
        <v>32</v>
      </c>
      <c r="BA63">
        <v>34</v>
      </c>
      <c r="BB63">
        <v>35</v>
      </c>
      <c r="BC63">
        <v>30</v>
      </c>
      <c r="BD63">
        <v>32</v>
      </c>
      <c r="BE63">
        <v>35</v>
      </c>
      <c r="BF63">
        <v>36</v>
      </c>
      <c r="BG63">
        <v>31</v>
      </c>
      <c r="BH63">
        <v>40</v>
      </c>
      <c r="BI63" t="s">
        <v>58</v>
      </c>
      <c r="BJ63" t="s">
        <v>428</v>
      </c>
      <c r="BK63" t="s">
        <v>298</v>
      </c>
      <c r="BL63" t="s">
        <v>109</v>
      </c>
      <c r="BM63" t="s">
        <v>283</v>
      </c>
      <c r="BN63" t="s">
        <v>299</v>
      </c>
      <c r="BO63" t="s">
        <v>503</v>
      </c>
      <c r="BP63" t="s">
        <v>504</v>
      </c>
      <c r="BQ63" t="s">
        <v>505</v>
      </c>
      <c r="BR63" t="s">
        <v>506</v>
      </c>
      <c r="BS63" t="s">
        <v>507</v>
      </c>
      <c r="BT63" t="s">
        <v>508</v>
      </c>
      <c r="BU63" t="s">
        <v>509</v>
      </c>
      <c r="BV63" t="s">
        <v>515</v>
      </c>
      <c r="BW63" t="s">
        <v>528</v>
      </c>
      <c r="BX63" t="s">
        <v>512</v>
      </c>
      <c r="BY63" t="s">
        <v>562</v>
      </c>
      <c r="BZ63" t="s">
        <v>508</v>
      </c>
      <c r="CA63" t="s">
        <v>540</v>
      </c>
    </row>
    <row r="64" spans="1:79" x14ac:dyDescent="0.35">
      <c r="A64">
        <v>195304</v>
      </c>
      <c r="B64" t="s">
        <v>499</v>
      </c>
      <c r="C64" t="s">
        <v>501</v>
      </c>
      <c r="D64" t="s">
        <v>499</v>
      </c>
      <c r="E64" t="s">
        <v>501</v>
      </c>
      <c r="F64" t="s">
        <v>499</v>
      </c>
      <c r="G64" t="s">
        <v>501</v>
      </c>
      <c r="H64" t="s">
        <v>521</v>
      </c>
      <c r="I64" t="s">
        <v>499</v>
      </c>
      <c r="J64" t="s">
        <v>502</v>
      </c>
      <c r="K64" t="s">
        <v>501</v>
      </c>
      <c r="L64" t="s">
        <v>499</v>
      </c>
      <c r="M64" t="s">
        <v>500</v>
      </c>
      <c r="N64">
        <v>4819</v>
      </c>
      <c r="O64">
        <v>844</v>
      </c>
      <c r="P64">
        <v>3975</v>
      </c>
      <c r="R64">
        <v>0</v>
      </c>
      <c r="S64">
        <v>2840</v>
      </c>
      <c r="T64">
        <v>535</v>
      </c>
      <c r="U64">
        <v>2305</v>
      </c>
      <c r="W64">
        <v>0</v>
      </c>
      <c r="X64">
        <v>411</v>
      </c>
      <c r="Y64">
        <v>69</v>
      </c>
      <c r="Z64">
        <v>342</v>
      </c>
      <c r="AB64">
        <v>0</v>
      </c>
      <c r="AC64">
        <v>411</v>
      </c>
      <c r="AD64">
        <v>69</v>
      </c>
      <c r="AE64">
        <v>342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41</v>
      </c>
      <c r="AN64">
        <v>10</v>
      </c>
      <c r="AO64">
        <v>34</v>
      </c>
      <c r="AP64">
        <v>8</v>
      </c>
      <c r="AQ64">
        <v>680</v>
      </c>
      <c r="AR64">
        <v>710</v>
      </c>
      <c r="AS64">
        <v>730</v>
      </c>
      <c r="AT64">
        <v>590</v>
      </c>
      <c r="AU64">
        <v>635</v>
      </c>
      <c r="AV64">
        <v>710</v>
      </c>
      <c r="AW64">
        <v>29</v>
      </c>
      <c r="AX64">
        <v>31</v>
      </c>
      <c r="AY64">
        <v>33</v>
      </c>
      <c r="AZ64">
        <v>31</v>
      </c>
      <c r="BA64">
        <v>34</v>
      </c>
      <c r="BB64">
        <v>35</v>
      </c>
      <c r="BC64">
        <v>25</v>
      </c>
      <c r="BD64">
        <v>27</v>
      </c>
      <c r="BE64">
        <v>31</v>
      </c>
      <c r="BF64">
        <v>59</v>
      </c>
      <c r="BG64">
        <v>63</v>
      </c>
      <c r="BH64">
        <v>58</v>
      </c>
      <c r="BI64" t="s">
        <v>31</v>
      </c>
      <c r="BJ64" t="s">
        <v>430</v>
      </c>
      <c r="BK64" t="s">
        <v>300</v>
      </c>
      <c r="BL64" t="s">
        <v>110</v>
      </c>
      <c r="BM64" t="s">
        <v>283</v>
      </c>
      <c r="BN64">
        <v>10708</v>
      </c>
      <c r="BO64" t="s">
        <v>503</v>
      </c>
      <c r="BP64" t="s">
        <v>522</v>
      </c>
      <c r="BQ64" t="s">
        <v>523</v>
      </c>
      <c r="BR64" t="s">
        <v>524</v>
      </c>
      <c r="BS64" t="s">
        <v>525</v>
      </c>
      <c r="BT64" t="s">
        <v>525</v>
      </c>
      <c r="BU64" t="s">
        <v>526</v>
      </c>
      <c r="BV64" t="s">
        <v>537</v>
      </c>
      <c r="BW64" t="s">
        <v>528</v>
      </c>
      <c r="BX64" t="s">
        <v>516</v>
      </c>
      <c r="BY64" t="s">
        <v>530</v>
      </c>
      <c r="BZ64" t="s">
        <v>525</v>
      </c>
      <c r="CA64" t="s">
        <v>531</v>
      </c>
    </row>
    <row r="65" spans="1:79" x14ac:dyDescent="0.35">
      <c r="A65">
        <v>195526</v>
      </c>
      <c r="B65" t="s">
        <v>501</v>
      </c>
      <c r="C65" t="s">
        <v>501</v>
      </c>
      <c r="D65" t="s">
        <v>499</v>
      </c>
      <c r="E65" t="s">
        <v>499</v>
      </c>
      <c r="F65" t="s">
        <v>499</v>
      </c>
      <c r="G65" t="s">
        <v>500</v>
      </c>
      <c r="H65" t="s">
        <v>521</v>
      </c>
      <c r="I65" t="s">
        <v>499</v>
      </c>
      <c r="J65" t="s">
        <v>502</v>
      </c>
      <c r="K65" t="s">
        <v>501</v>
      </c>
      <c r="L65" t="s">
        <v>499</v>
      </c>
      <c r="M65" t="s">
        <v>500</v>
      </c>
      <c r="N65">
        <v>12144</v>
      </c>
      <c r="O65">
        <v>4918</v>
      </c>
      <c r="P65">
        <v>7226</v>
      </c>
      <c r="R65">
        <v>0</v>
      </c>
      <c r="S65">
        <v>2784</v>
      </c>
      <c r="T65">
        <v>1141</v>
      </c>
      <c r="U65">
        <v>1643</v>
      </c>
      <c r="W65">
        <v>0</v>
      </c>
      <c r="X65">
        <v>735</v>
      </c>
      <c r="Y65">
        <v>299</v>
      </c>
      <c r="Z65">
        <v>436</v>
      </c>
      <c r="AB65">
        <v>0</v>
      </c>
      <c r="AC65">
        <v>734</v>
      </c>
      <c r="AD65">
        <v>298</v>
      </c>
      <c r="AE65">
        <v>436</v>
      </c>
      <c r="AG65">
        <v>0</v>
      </c>
      <c r="AH65">
        <v>1</v>
      </c>
      <c r="AI65">
        <v>1</v>
      </c>
      <c r="AJ65">
        <v>0</v>
      </c>
      <c r="AL65">
        <v>0</v>
      </c>
      <c r="AM65">
        <v>186</v>
      </c>
      <c r="AN65">
        <v>25</v>
      </c>
      <c r="AO65">
        <v>65</v>
      </c>
      <c r="AP65">
        <v>9</v>
      </c>
      <c r="AQ65">
        <v>660</v>
      </c>
      <c r="AR65">
        <v>690</v>
      </c>
      <c r="AS65">
        <v>730</v>
      </c>
      <c r="AT65">
        <v>640</v>
      </c>
      <c r="AU65">
        <v>680</v>
      </c>
      <c r="AV65">
        <v>730</v>
      </c>
      <c r="AW65">
        <v>30</v>
      </c>
      <c r="AX65">
        <v>32</v>
      </c>
      <c r="AY65">
        <v>33</v>
      </c>
      <c r="AZ65">
        <v>30</v>
      </c>
      <c r="BA65">
        <v>34</v>
      </c>
      <c r="BB65">
        <v>35</v>
      </c>
      <c r="BC65">
        <v>27</v>
      </c>
      <c r="BD65">
        <v>28</v>
      </c>
      <c r="BE65">
        <v>31</v>
      </c>
      <c r="BF65">
        <v>23</v>
      </c>
      <c r="BG65">
        <v>23</v>
      </c>
      <c r="BH65">
        <v>23</v>
      </c>
      <c r="BI65" t="s">
        <v>33</v>
      </c>
      <c r="BJ65" t="s">
        <v>436</v>
      </c>
      <c r="BK65" t="s">
        <v>301</v>
      </c>
      <c r="BL65" t="s">
        <v>111</v>
      </c>
      <c r="BM65" t="s">
        <v>283</v>
      </c>
      <c r="BN65">
        <v>12866</v>
      </c>
      <c r="BO65" t="s">
        <v>532</v>
      </c>
      <c r="BP65" t="s">
        <v>533</v>
      </c>
      <c r="BQ65" t="s">
        <v>523</v>
      </c>
      <c r="BR65" t="s">
        <v>524</v>
      </c>
      <c r="BS65" t="s">
        <v>525</v>
      </c>
      <c r="BT65" t="s">
        <v>525</v>
      </c>
      <c r="BU65" t="s">
        <v>536</v>
      </c>
      <c r="BV65" t="s">
        <v>527</v>
      </c>
      <c r="BW65" t="s">
        <v>528</v>
      </c>
      <c r="BX65" t="s">
        <v>529</v>
      </c>
      <c r="BY65" t="s">
        <v>530</v>
      </c>
      <c r="BZ65" t="s">
        <v>525</v>
      </c>
      <c r="CA65" t="s">
        <v>531</v>
      </c>
    </row>
    <row r="66" spans="1:79" x14ac:dyDescent="0.35">
      <c r="A66">
        <v>196060</v>
      </c>
      <c r="B66" t="s">
        <v>499</v>
      </c>
      <c r="C66" t="s">
        <v>501</v>
      </c>
      <c r="D66" t="s">
        <v>499</v>
      </c>
      <c r="E66" t="s">
        <v>501</v>
      </c>
      <c r="F66" t="s">
        <v>499</v>
      </c>
      <c r="G66" t="s">
        <v>500</v>
      </c>
      <c r="H66" t="s">
        <v>521</v>
      </c>
      <c r="I66" t="s">
        <v>499</v>
      </c>
      <c r="J66" t="s">
        <v>502</v>
      </c>
      <c r="K66" t="s">
        <v>501</v>
      </c>
      <c r="L66" t="s">
        <v>501</v>
      </c>
      <c r="M66" t="s">
        <v>500</v>
      </c>
      <c r="N66">
        <v>30740</v>
      </c>
      <c r="O66">
        <v>13515</v>
      </c>
      <c r="P66">
        <v>17209</v>
      </c>
      <c r="S66">
        <v>21477</v>
      </c>
      <c r="T66">
        <v>9121</v>
      </c>
      <c r="U66">
        <v>12354</v>
      </c>
      <c r="X66">
        <v>2836</v>
      </c>
      <c r="Y66">
        <v>1252</v>
      </c>
      <c r="Z66">
        <v>1582</v>
      </c>
      <c r="AC66">
        <v>2832</v>
      </c>
      <c r="AD66">
        <v>1249</v>
      </c>
      <c r="AE66">
        <v>1581</v>
      </c>
      <c r="AH66">
        <v>4</v>
      </c>
      <c r="AI66">
        <v>3</v>
      </c>
      <c r="AJ66">
        <v>1</v>
      </c>
      <c r="AM66">
        <v>2</v>
      </c>
      <c r="AN66">
        <v>1</v>
      </c>
      <c r="AO66">
        <v>0</v>
      </c>
      <c r="AP66">
        <v>0</v>
      </c>
      <c r="BF66">
        <v>70</v>
      </c>
      <c r="BG66">
        <v>67</v>
      </c>
      <c r="BH66">
        <v>72</v>
      </c>
      <c r="BI66" t="s">
        <v>480</v>
      </c>
      <c r="BJ66" t="s">
        <v>428</v>
      </c>
      <c r="BK66" t="s">
        <v>422</v>
      </c>
      <c r="BL66" t="s">
        <v>417</v>
      </c>
      <c r="BM66" t="s">
        <v>283</v>
      </c>
      <c r="BN66">
        <v>12222</v>
      </c>
      <c r="BO66" t="s">
        <v>503</v>
      </c>
      <c r="BP66" t="s">
        <v>504</v>
      </c>
      <c r="BQ66" t="s">
        <v>505</v>
      </c>
      <c r="BR66" t="s">
        <v>506</v>
      </c>
      <c r="BS66" t="s">
        <v>507</v>
      </c>
      <c r="BT66" t="s">
        <v>508</v>
      </c>
      <c r="BU66" t="s">
        <v>509</v>
      </c>
      <c r="BV66" t="s">
        <v>510</v>
      </c>
      <c r="BW66" t="s">
        <v>563</v>
      </c>
      <c r="BX66" t="s">
        <v>516</v>
      </c>
      <c r="BY66" t="s">
        <v>519</v>
      </c>
      <c r="BZ66" t="s">
        <v>508</v>
      </c>
      <c r="CA66" t="s">
        <v>540</v>
      </c>
    </row>
    <row r="67" spans="1:79" x14ac:dyDescent="0.35">
      <c r="A67">
        <v>196079</v>
      </c>
      <c r="B67" t="s">
        <v>499</v>
      </c>
      <c r="C67" t="s">
        <v>500</v>
      </c>
      <c r="D67" t="s">
        <v>499</v>
      </c>
      <c r="E67" t="s">
        <v>501</v>
      </c>
      <c r="F67" t="s">
        <v>499</v>
      </c>
      <c r="G67" t="s">
        <v>501</v>
      </c>
      <c r="H67" t="s">
        <v>521</v>
      </c>
      <c r="I67" t="s">
        <v>499</v>
      </c>
      <c r="J67" t="s">
        <v>502</v>
      </c>
      <c r="K67" t="s">
        <v>501</v>
      </c>
      <c r="L67" t="s">
        <v>499</v>
      </c>
      <c r="M67" t="s">
        <v>500</v>
      </c>
      <c r="N67">
        <v>49513</v>
      </c>
      <c r="O67">
        <v>22131</v>
      </c>
      <c r="P67">
        <v>27382</v>
      </c>
      <c r="Q67">
        <v>0</v>
      </c>
      <c r="R67">
        <v>0</v>
      </c>
      <c r="S67">
        <v>18683</v>
      </c>
      <c r="T67">
        <v>8025</v>
      </c>
      <c r="U67">
        <v>10658</v>
      </c>
      <c r="W67">
        <v>0</v>
      </c>
      <c r="X67">
        <v>3095</v>
      </c>
      <c r="Y67">
        <v>1418</v>
      </c>
      <c r="Z67">
        <v>1677</v>
      </c>
      <c r="AB67">
        <v>0</v>
      </c>
      <c r="AC67">
        <v>3088</v>
      </c>
      <c r="AD67">
        <v>1412</v>
      </c>
      <c r="AE67">
        <v>1676</v>
      </c>
      <c r="AG67">
        <v>0</v>
      </c>
      <c r="AH67">
        <v>7</v>
      </c>
      <c r="AI67">
        <v>6</v>
      </c>
      <c r="AJ67">
        <v>1</v>
      </c>
      <c r="AL67">
        <v>0</v>
      </c>
      <c r="AM67">
        <v>1455</v>
      </c>
      <c r="AN67">
        <v>47</v>
      </c>
      <c r="AO67">
        <v>284</v>
      </c>
      <c r="AP67">
        <v>9</v>
      </c>
      <c r="AQ67">
        <v>660</v>
      </c>
      <c r="AR67">
        <v>700</v>
      </c>
      <c r="AS67">
        <v>730</v>
      </c>
      <c r="AT67">
        <v>660</v>
      </c>
      <c r="AU67">
        <v>710</v>
      </c>
      <c r="AV67">
        <v>760</v>
      </c>
      <c r="AW67">
        <v>29</v>
      </c>
      <c r="AX67">
        <v>32</v>
      </c>
      <c r="AY67">
        <v>34</v>
      </c>
      <c r="AZ67">
        <v>29</v>
      </c>
      <c r="BA67">
        <v>33</v>
      </c>
      <c r="BB67">
        <v>35</v>
      </c>
      <c r="BC67">
        <v>27</v>
      </c>
      <c r="BD67">
        <v>30</v>
      </c>
      <c r="BE67">
        <v>33</v>
      </c>
      <c r="BF67">
        <v>38</v>
      </c>
      <c r="BG67">
        <v>36</v>
      </c>
      <c r="BH67">
        <v>39</v>
      </c>
      <c r="BI67" t="s">
        <v>154</v>
      </c>
      <c r="BJ67" t="s">
        <v>435</v>
      </c>
      <c r="BK67" t="s">
        <v>384</v>
      </c>
      <c r="BL67" t="s">
        <v>385</v>
      </c>
      <c r="BM67" t="s">
        <v>283</v>
      </c>
      <c r="BN67" t="s">
        <v>386</v>
      </c>
      <c r="BO67" t="s">
        <v>503</v>
      </c>
      <c r="BP67" t="s">
        <v>504</v>
      </c>
      <c r="BQ67" t="s">
        <v>505</v>
      </c>
      <c r="BR67" t="s">
        <v>544</v>
      </c>
      <c r="BS67" t="s">
        <v>542</v>
      </c>
      <c r="BT67" t="s">
        <v>508</v>
      </c>
      <c r="BU67" t="s">
        <v>509</v>
      </c>
      <c r="BV67" t="s">
        <v>510</v>
      </c>
      <c r="BW67" t="s">
        <v>511</v>
      </c>
      <c r="BX67" t="s">
        <v>516</v>
      </c>
      <c r="BY67" t="s">
        <v>513</v>
      </c>
      <c r="BZ67" t="s">
        <v>508</v>
      </c>
      <c r="CA67" t="s">
        <v>540</v>
      </c>
    </row>
    <row r="68" spans="1:79" x14ac:dyDescent="0.35">
      <c r="A68">
        <v>196413</v>
      </c>
      <c r="B68" t="s">
        <v>499</v>
      </c>
      <c r="C68" t="s">
        <v>501</v>
      </c>
      <c r="D68" t="s">
        <v>499</v>
      </c>
      <c r="E68" t="s">
        <v>499</v>
      </c>
      <c r="F68" t="s">
        <v>499</v>
      </c>
      <c r="G68" t="s">
        <v>499</v>
      </c>
      <c r="H68" t="s">
        <v>521</v>
      </c>
      <c r="I68" t="s">
        <v>499</v>
      </c>
      <c r="J68" t="s">
        <v>521</v>
      </c>
      <c r="K68" t="s">
        <v>501</v>
      </c>
      <c r="L68" t="s">
        <v>499</v>
      </c>
      <c r="M68" t="s">
        <v>500</v>
      </c>
      <c r="N68">
        <v>42089</v>
      </c>
      <c r="O68">
        <v>17203</v>
      </c>
      <c r="P68">
        <v>24866</v>
      </c>
      <c r="R68">
        <v>20</v>
      </c>
      <c r="S68">
        <v>17545</v>
      </c>
      <c r="T68">
        <v>7270</v>
      </c>
      <c r="U68">
        <v>10275</v>
      </c>
      <c r="W68">
        <v>0</v>
      </c>
      <c r="X68">
        <v>3672</v>
      </c>
      <c r="Y68">
        <v>1569</v>
      </c>
      <c r="Z68">
        <v>2103</v>
      </c>
      <c r="AB68">
        <v>0</v>
      </c>
      <c r="AC68">
        <v>3663</v>
      </c>
      <c r="AD68">
        <v>1563</v>
      </c>
      <c r="AE68">
        <v>2100</v>
      </c>
      <c r="AG68">
        <v>0</v>
      </c>
      <c r="AH68">
        <v>9</v>
      </c>
      <c r="AI68">
        <v>6</v>
      </c>
      <c r="AJ68">
        <v>3</v>
      </c>
      <c r="AL68">
        <v>0</v>
      </c>
      <c r="AM68">
        <v>874</v>
      </c>
      <c r="AN68">
        <v>24</v>
      </c>
      <c r="AO68">
        <v>344</v>
      </c>
      <c r="AP68">
        <v>9</v>
      </c>
      <c r="AQ68">
        <v>630</v>
      </c>
      <c r="AR68">
        <v>670</v>
      </c>
      <c r="AS68">
        <v>710</v>
      </c>
      <c r="AT68">
        <v>630</v>
      </c>
      <c r="AU68">
        <v>670</v>
      </c>
      <c r="AV68">
        <v>720</v>
      </c>
      <c r="AW68">
        <v>28</v>
      </c>
      <c r="AX68">
        <v>30</v>
      </c>
      <c r="AY68">
        <v>32</v>
      </c>
      <c r="AZ68">
        <v>28</v>
      </c>
      <c r="BA68">
        <v>31</v>
      </c>
      <c r="BB68">
        <v>34</v>
      </c>
      <c r="BC68">
        <v>26</v>
      </c>
      <c r="BD68">
        <v>28</v>
      </c>
      <c r="BE68">
        <v>30</v>
      </c>
      <c r="BF68">
        <v>42</v>
      </c>
      <c r="BG68">
        <v>42</v>
      </c>
      <c r="BH68">
        <v>41</v>
      </c>
      <c r="BI68" t="s">
        <v>155</v>
      </c>
      <c r="BJ68" t="s">
        <v>428</v>
      </c>
      <c r="BK68" t="s">
        <v>363</v>
      </c>
      <c r="BL68" t="s">
        <v>364</v>
      </c>
      <c r="BM68" t="s">
        <v>283</v>
      </c>
      <c r="BN68">
        <v>13244</v>
      </c>
      <c r="BO68" t="s">
        <v>503</v>
      </c>
      <c r="BP68" t="s">
        <v>504</v>
      </c>
      <c r="BQ68" t="s">
        <v>505</v>
      </c>
      <c r="BR68" t="s">
        <v>544</v>
      </c>
      <c r="BS68" t="s">
        <v>507</v>
      </c>
      <c r="BT68" t="s">
        <v>508</v>
      </c>
      <c r="BU68" t="s">
        <v>517</v>
      </c>
      <c r="BV68" t="s">
        <v>510</v>
      </c>
      <c r="BW68" t="s">
        <v>545</v>
      </c>
      <c r="BX68" t="s">
        <v>512</v>
      </c>
      <c r="BY68" t="s">
        <v>519</v>
      </c>
      <c r="BZ68" t="s">
        <v>508</v>
      </c>
      <c r="CA68" t="s">
        <v>514</v>
      </c>
    </row>
    <row r="69" spans="1:79" x14ac:dyDescent="0.35">
      <c r="A69">
        <v>197133</v>
      </c>
      <c r="B69" t="s">
        <v>501</v>
      </c>
      <c r="C69" t="s">
        <v>501</v>
      </c>
      <c r="D69" t="s">
        <v>499</v>
      </c>
      <c r="E69" t="s">
        <v>499</v>
      </c>
      <c r="F69" t="s">
        <v>499</v>
      </c>
      <c r="G69" t="s">
        <v>501</v>
      </c>
      <c r="H69" t="s">
        <v>521</v>
      </c>
      <c r="I69" t="s">
        <v>499</v>
      </c>
      <c r="J69" t="s">
        <v>502</v>
      </c>
      <c r="K69" t="s">
        <v>501</v>
      </c>
      <c r="L69" t="s">
        <v>499</v>
      </c>
      <c r="M69" t="s">
        <v>501</v>
      </c>
      <c r="N69">
        <v>12145</v>
      </c>
      <c r="O69">
        <v>3953</v>
      </c>
      <c r="P69">
        <v>8192</v>
      </c>
      <c r="S69">
        <v>2153</v>
      </c>
      <c r="T69">
        <v>853</v>
      </c>
      <c r="U69">
        <v>1300</v>
      </c>
      <c r="X69">
        <v>689</v>
      </c>
      <c r="Y69">
        <v>264</v>
      </c>
      <c r="Z69">
        <v>425</v>
      </c>
      <c r="AC69">
        <v>689</v>
      </c>
      <c r="AD69">
        <v>264</v>
      </c>
      <c r="AE69">
        <v>425</v>
      </c>
      <c r="AM69">
        <v>179</v>
      </c>
      <c r="AN69">
        <v>26</v>
      </c>
      <c r="AO69">
        <v>88</v>
      </c>
      <c r="AP69">
        <v>13</v>
      </c>
      <c r="AQ69">
        <v>720</v>
      </c>
      <c r="AR69">
        <v>750</v>
      </c>
      <c r="AS69">
        <v>770</v>
      </c>
      <c r="AT69">
        <v>715</v>
      </c>
      <c r="AU69">
        <v>760</v>
      </c>
      <c r="AV69">
        <v>780</v>
      </c>
      <c r="AW69">
        <v>33</v>
      </c>
      <c r="AX69">
        <v>34</v>
      </c>
      <c r="AY69">
        <v>35</v>
      </c>
      <c r="BF69">
        <v>18</v>
      </c>
      <c r="BG69">
        <v>22</v>
      </c>
      <c r="BH69">
        <v>16</v>
      </c>
      <c r="BI69" t="s">
        <v>156</v>
      </c>
      <c r="BJ69" t="s">
        <v>430</v>
      </c>
      <c r="BK69" t="s">
        <v>423</v>
      </c>
      <c r="BL69" t="s">
        <v>418</v>
      </c>
      <c r="BM69" t="s">
        <v>283</v>
      </c>
      <c r="BN69">
        <v>12604</v>
      </c>
      <c r="BO69" t="s">
        <v>503</v>
      </c>
      <c r="BP69" t="s">
        <v>522</v>
      </c>
      <c r="BQ69" t="s">
        <v>523</v>
      </c>
      <c r="BR69" t="s">
        <v>524</v>
      </c>
      <c r="BS69" t="s">
        <v>525</v>
      </c>
      <c r="BT69" t="s">
        <v>525</v>
      </c>
      <c r="BU69" t="s">
        <v>526</v>
      </c>
      <c r="BV69" t="s">
        <v>527</v>
      </c>
      <c r="BW69" t="s">
        <v>528</v>
      </c>
      <c r="BX69" t="s">
        <v>529</v>
      </c>
      <c r="BY69" t="s">
        <v>530</v>
      </c>
      <c r="BZ69" t="s">
        <v>525</v>
      </c>
      <c r="CA69" t="s">
        <v>531</v>
      </c>
    </row>
    <row r="70" spans="1:79" x14ac:dyDescent="0.35">
      <c r="A70">
        <v>198385</v>
      </c>
      <c r="B70" t="s">
        <v>501</v>
      </c>
      <c r="C70" t="s">
        <v>500</v>
      </c>
      <c r="D70" t="s">
        <v>499</v>
      </c>
      <c r="E70" t="s">
        <v>499</v>
      </c>
      <c r="F70" t="s">
        <v>499</v>
      </c>
      <c r="G70" t="s">
        <v>500</v>
      </c>
      <c r="H70" t="s">
        <v>521</v>
      </c>
      <c r="I70" t="s">
        <v>499</v>
      </c>
      <c r="J70" t="s">
        <v>502</v>
      </c>
      <c r="K70" t="s">
        <v>501</v>
      </c>
      <c r="L70" t="s">
        <v>499</v>
      </c>
      <c r="M70" t="s">
        <v>500</v>
      </c>
      <c r="N70">
        <v>7347</v>
      </c>
      <c r="O70">
        <v>3509</v>
      </c>
      <c r="P70">
        <v>3838</v>
      </c>
      <c r="R70">
        <v>0</v>
      </c>
      <c r="S70">
        <v>1064</v>
      </c>
      <c r="T70">
        <v>499</v>
      </c>
      <c r="U70">
        <v>565</v>
      </c>
      <c r="W70">
        <v>0</v>
      </c>
      <c r="X70">
        <v>519</v>
      </c>
      <c r="Y70">
        <v>243</v>
      </c>
      <c r="Z70">
        <v>276</v>
      </c>
      <c r="AB70">
        <v>0</v>
      </c>
      <c r="AC70">
        <v>519</v>
      </c>
      <c r="AD70">
        <v>243</v>
      </c>
      <c r="AE70">
        <v>276</v>
      </c>
      <c r="AG70">
        <v>0</v>
      </c>
      <c r="AM70">
        <v>154</v>
      </c>
      <c r="AN70">
        <v>30</v>
      </c>
      <c r="AO70">
        <v>139</v>
      </c>
      <c r="AP70">
        <v>27</v>
      </c>
      <c r="AQ70">
        <v>690</v>
      </c>
      <c r="AR70">
        <v>725</v>
      </c>
      <c r="AS70">
        <v>750</v>
      </c>
      <c r="AT70">
        <v>670</v>
      </c>
      <c r="AU70">
        <v>730</v>
      </c>
      <c r="AV70">
        <v>760</v>
      </c>
      <c r="AW70">
        <v>31</v>
      </c>
      <c r="AX70">
        <v>32</v>
      </c>
      <c r="AY70">
        <v>34</v>
      </c>
      <c r="BF70">
        <v>14</v>
      </c>
      <c r="BG70">
        <v>14</v>
      </c>
      <c r="BH70">
        <v>15</v>
      </c>
      <c r="BI70" t="s">
        <v>50</v>
      </c>
      <c r="BJ70" t="s">
        <v>430</v>
      </c>
      <c r="BK70" t="s">
        <v>302</v>
      </c>
      <c r="BL70" t="s">
        <v>93</v>
      </c>
      <c r="BM70" t="s">
        <v>303</v>
      </c>
      <c r="BN70">
        <v>28035</v>
      </c>
      <c r="BO70" t="s">
        <v>532</v>
      </c>
      <c r="BP70" t="s">
        <v>533</v>
      </c>
      <c r="BQ70" t="s">
        <v>523</v>
      </c>
      <c r="BR70" t="s">
        <v>524</v>
      </c>
      <c r="BS70" t="s">
        <v>525</v>
      </c>
      <c r="BT70" t="s">
        <v>525</v>
      </c>
      <c r="BU70" t="s">
        <v>526</v>
      </c>
      <c r="BV70" t="s">
        <v>527</v>
      </c>
      <c r="BW70" t="s">
        <v>528</v>
      </c>
      <c r="BX70" t="s">
        <v>529</v>
      </c>
      <c r="BY70" t="s">
        <v>530</v>
      </c>
      <c r="BZ70" t="s">
        <v>525</v>
      </c>
      <c r="CA70" t="s">
        <v>531</v>
      </c>
    </row>
    <row r="71" spans="1:79" x14ac:dyDescent="0.35">
      <c r="A71">
        <v>198419</v>
      </c>
      <c r="B71" t="s">
        <v>499</v>
      </c>
      <c r="C71" t="s">
        <v>500</v>
      </c>
      <c r="D71" t="s">
        <v>499</v>
      </c>
      <c r="E71" t="s">
        <v>499</v>
      </c>
      <c r="F71" t="s">
        <v>499</v>
      </c>
      <c r="G71" t="s">
        <v>500</v>
      </c>
      <c r="H71" t="s">
        <v>521</v>
      </c>
      <c r="I71" t="s">
        <v>502</v>
      </c>
      <c r="J71" t="s">
        <v>502</v>
      </c>
      <c r="K71" t="s">
        <v>501</v>
      </c>
      <c r="L71" t="s">
        <v>499</v>
      </c>
      <c r="M71" t="s">
        <v>501</v>
      </c>
      <c r="N71">
        <v>46365</v>
      </c>
      <c r="O71">
        <v>21550</v>
      </c>
      <c r="P71">
        <v>24815</v>
      </c>
      <c r="R71">
        <v>0</v>
      </c>
      <c r="S71">
        <v>3145</v>
      </c>
      <c r="T71">
        <v>1463</v>
      </c>
      <c r="U71">
        <v>1682</v>
      </c>
      <c r="W71">
        <v>0</v>
      </c>
      <c r="X71">
        <v>1742</v>
      </c>
      <c r="Y71">
        <v>791</v>
      </c>
      <c r="Z71">
        <v>951</v>
      </c>
      <c r="AB71">
        <v>0</v>
      </c>
      <c r="AC71">
        <v>1742</v>
      </c>
      <c r="AD71">
        <v>791</v>
      </c>
      <c r="AE71">
        <v>951</v>
      </c>
      <c r="AG71">
        <v>0</v>
      </c>
      <c r="AM71">
        <v>863</v>
      </c>
      <c r="AN71">
        <v>50</v>
      </c>
      <c r="AO71">
        <v>534</v>
      </c>
      <c r="AP71">
        <v>31</v>
      </c>
      <c r="AQ71">
        <v>740</v>
      </c>
      <c r="AR71">
        <v>760</v>
      </c>
      <c r="AS71">
        <v>770</v>
      </c>
      <c r="AT71">
        <v>770</v>
      </c>
      <c r="AU71">
        <v>790</v>
      </c>
      <c r="AV71">
        <v>800</v>
      </c>
      <c r="AW71">
        <v>34</v>
      </c>
      <c r="AX71">
        <v>34</v>
      </c>
      <c r="AY71">
        <v>35</v>
      </c>
      <c r="AZ71">
        <v>35</v>
      </c>
      <c r="BA71">
        <v>35</v>
      </c>
      <c r="BB71">
        <v>36</v>
      </c>
      <c r="BC71">
        <v>32</v>
      </c>
      <c r="BD71">
        <v>34</v>
      </c>
      <c r="BE71">
        <v>35</v>
      </c>
      <c r="BF71">
        <v>7</v>
      </c>
      <c r="BG71">
        <v>7</v>
      </c>
      <c r="BH71">
        <v>7</v>
      </c>
      <c r="BI71" t="s">
        <v>53</v>
      </c>
      <c r="BJ71" t="s">
        <v>429</v>
      </c>
      <c r="BK71" t="s">
        <v>304</v>
      </c>
      <c r="BL71" t="s">
        <v>96</v>
      </c>
      <c r="BM71" t="s">
        <v>303</v>
      </c>
      <c r="BN71">
        <v>27708</v>
      </c>
      <c r="BO71" t="s">
        <v>503</v>
      </c>
      <c r="BP71" t="s">
        <v>504</v>
      </c>
      <c r="BQ71" t="s">
        <v>505</v>
      </c>
      <c r="BR71" t="s">
        <v>506</v>
      </c>
      <c r="BS71" t="s">
        <v>507</v>
      </c>
      <c r="BT71" t="s">
        <v>508</v>
      </c>
      <c r="BU71" t="s">
        <v>509</v>
      </c>
      <c r="BV71" t="s">
        <v>515</v>
      </c>
      <c r="BW71" t="s">
        <v>528</v>
      </c>
      <c r="BX71" t="s">
        <v>535</v>
      </c>
      <c r="BY71" t="s">
        <v>519</v>
      </c>
      <c r="BZ71" t="s">
        <v>508</v>
      </c>
      <c r="CA71" t="s">
        <v>540</v>
      </c>
    </row>
    <row r="72" spans="1:79" x14ac:dyDescent="0.35">
      <c r="A72">
        <v>199120</v>
      </c>
      <c r="B72" t="s">
        <v>501</v>
      </c>
      <c r="C72" t="s">
        <v>501</v>
      </c>
      <c r="D72" t="s">
        <v>499</v>
      </c>
      <c r="E72" t="s">
        <v>501</v>
      </c>
      <c r="F72" t="s">
        <v>499</v>
      </c>
      <c r="G72" t="s">
        <v>501</v>
      </c>
      <c r="H72" t="s">
        <v>521</v>
      </c>
      <c r="I72" t="s">
        <v>499</v>
      </c>
      <c r="J72" t="s">
        <v>502</v>
      </c>
      <c r="K72" t="s">
        <v>501</v>
      </c>
      <c r="L72" t="s">
        <v>499</v>
      </c>
      <c r="M72" t="s">
        <v>501</v>
      </c>
      <c r="N72">
        <v>57902</v>
      </c>
      <c r="O72">
        <v>23947</v>
      </c>
      <c r="P72">
        <v>33955</v>
      </c>
      <c r="R72">
        <v>0</v>
      </c>
      <c r="S72">
        <v>10850</v>
      </c>
      <c r="T72">
        <v>4333</v>
      </c>
      <c r="U72">
        <v>6517</v>
      </c>
      <c r="W72">
        <v>0</v>
      </c>
      <c r="X72">
        <v>4699</v>
      </c>
      <c r="Y72">
        <v>1764</v>
      </c>
      <c r="Z72">
        <v>2935</v>
      </c>
      <c r="AB72">
        <v>0</v>
      </c>
      <c r="AC72">
        <v>4688</v>
      </c>
      <c r="AD72">
        <v>1758</v>
      </c>
      <c r="AE72">
        <v>2930</v>
      </c>
      <c r="AG72">
        <v>0</v>
      </c>
      <c r="AH72">
        <v>11</v>
      </c>
      <c r="AI72">
        <v>6</v>
      </c>
      <c r="AJ72">
        <v>5</v>
      </c>
      <c r="AL72">
        <v>0</v>
      </c>
      <c r="AM72">
        <v>1362</v>
      </c>
      <c r="AN72">
        <v>29</v>
      </c>
      <c r="AO72">
        <v>1600</v>
      </c>
      <c r="AP72">
        <v>34</v>
      </c>
      <c r="AQ72">
        <v>680</v>
      </c>
      <c r="AR72">
        <v>720</v>
      </c>
      <c r="AS72">
        <v>750</v>
      </c>
      <c r="AT72">
        <v>690</v>
      </c>
      <c r="AU72">
        <v>750</v>
      </c>
      <c r="AV72">
        <v>780</v>
      </c>
      <c r="AW72">
        <v>30</v>
      </c>
      <c r="AX72">
        <v>32</v>
      </c>
      <c r="AY72">
        <v>34</v>
      </c>
      <c r="AZ72">
        <v>29</v>
      </c>
      <c r="BA72">
        <v>33</v>
      </c>
      <c r="BB72">
        <v>35</v>
      </c>
      <c r="BC72">
        <v>27</v>
      </c>
      <c r="BD72">
        <v>30</v>
      </c>
      <c r="BE72">
        <v>33</v>
      </c>
      <c r="BF72">
        <v>19</v>
      </c>
      <c r="BG72">
        <v>18</v>
      </c>
      <c r="BH72">
        <v>19</v>
      </c>
      <c r="BI72" t="s">
        <v>157</v>
      </c>
      <c r="BJ72" t="s">
        <v>431</v>
      </c>
      <c r="BK72" t="s">
        <v>365</v>
      </c>
      <c r="BL72" t="s">
        <v>366</v>
      </c>
      <c r="BM72" t="s">
        <v>303</v>
      </c>
      <c r="BN72">
        <v>27599</v>
      </c>
      <c r="BO72" t="s">
        <v>503</v>
      </c>
      <c r="BP72" t="s">
        <v>504</v>
      </c>
      <c r="BQ72" t="s">
        <v>505</v>
      </c>
      <c r="BR72" t="s">
        <v>506</v>
      </c>
      <c r="BS72" t="s">
        <v>507</v>
      </c>
      <c r="BT72" t="s">
        <v>508</v>
      </c>
      <c r="BU72" t="s">
        <v>509</v>
      </c>
      <c r="BV72" t="s">
        <v>515</v>
      </c>
      <c r="BW72" t="s">
        <v>528</v>
      </c>
      <c r="BX72" t="s">
        <v>512</v>
      </c>
      <c r="BY72" t="s">
        <v>519</v>
      </c>
      <c r="BZ72" t="s">
        <v>508</v>
      </c>
      <c r="CA72" t="s">
        <v>514</v>
      </c>
    </row>
    <row r="73" spans="1:79" x14ac:dyDescent="0.35">
      <c r="A73">
        <v>199847</v>
      </c>
      <c r="B73" t="s">
        <v>501</v>
      </c>
      <c r="C73" t="s">
        <v>501</v>
      </c>
      <c r="D73" t="s">
        <v>499</v>
      </c>
      <c r="E73" t="s">
        <v>501</v>
      </c>
      <c r="F73" t="s">
        <v>499</v>
      </c>
      <c r="G73" t="s">
        <v>500</v>
      </c>
      <c r="H73" t="s">
        <v>521</v>
      </c>
      <c r="I73" t="s">
        <v>499</v>
      </c>
      <c r="J73" t="s">
        <v>502</v>
      </c>
      <c r="K73" t="s">
        <v>501</v>
      </c>
      <c r="L73" t="s">
        <v>499</v>
      </c>
      <c r="M73" t="s">
        <v>501</v>
      </c>
      <c r="N73">
        <v>17479</v>
      </c>
      <c r="O73">
        <v>7864</v>
      </c>
      <c r="P73">
        <v>9613</v>
      </c>
      <c r="S73">
        <v>3768</v>
      </c>
      <c r="T73">
        <v>1751</v>
      </c>
      <c r="U73">
        <v>2017</v>
      </c>
      <c r="X73">
        <v>1385</v>
      </c>
      <c r="Y73">
        <v>623</v>
      </c>
      <c r="Z73">
        <v>762</v>
      </c>
      <c r="AC73">
        <v>1385</v>
      </c>
      <c r="AD73">
        <v>623</v>
      </c>
      <c r="AE73">
        <v>762</v>
      </c>
      <c r="AH73">
        <v>0</v>
      </c>
      <c r="AI73">
        <v>0</v>
      </c>
      <c r="AJ73">
        <v>0</v>
      </c>
      <c r="AM73">
        <v>357</v>
      </c>
      <c r="AN73">
        <v>26</v>
      </c>
      <c r="AO73">
        <v>298</v>
      </c>
      <c r="AP73">
        <v>22</v>
      </c>
      <c r="AQ73">
        <v>690</v>
      </c>
      <c r="AR73">
        <v>720</v>
      </c>
      <c r="AS73">
        <v>740</v>
      </c>
      <c r="AT73">
        <v>700</v>
      </c>
      <c r="AU73">
        <v>740</v>
      </c>
      <c r="AV73">
        <v>770</v>
      </c>
      <c r="AW73">
        <v>32</v>
      </c>
      <c r="AX73">
        <v>33</v>
      </c>
      <c r="AY73">
        <v>34</v>
      </c>
      <c r="AZ73">
        <v>33</v>
      </c>
      <c r="BA73">
        <v>35</v>
      </c>
      <c r="BB73">
        <v>35</v>
      </c>
      <c r="BC73">
        <v>29</v>
      </c>
      <c r="BD73">
        <v>31</v>
      </c>
      <c r="BE73">
        <v>33</v>
      </c>
      <c r="BF73">
        <v>22</v>
      </c>
      <c r="BG73">
        <v>22</v>
      </c>
      <c r="BH73">
        <v>21</v>
      </c>
      <c r="BI73" t="s">
        <v>64</v>
      </c>
      <c r="BJ73" t="s">
        <v>429</v>
      </c>
      <c r="BK73" t="s">
        <v>305</v>
      </c>
      <c r="BL73" t="s">
        <v>127</v>
      </c>
      <c r="BM73" t="s">
        <v>303</v>
      </c>
      <c r="BN73">
        <v>27106</v>
      </c>
      <c r="BO73" t="s">
        <v>503</v>
      </c>
      <c r="BP73" t="s">
        <v>504</v>
      </c>
      <c r="BQ73" t="s">
        <v>556</v>
      </c>
      <c r="BR73" t="s">
        <v>544</v>
      </c>
      <c r="BS73" t="s">
        <v>542</v>
      </c>
      <c r="BT73" t="s">
        <v>543</v>
      </c>
      <c r="BU73" t="s">
        <v>546</v>
      </c>
      <c r="BV73" t="s">
        <v>539</v>
      </c>
      <c r="BW73" t="s">
        <v>528</v>
      </c>
      <c r="BX73" t="s">
        <v>512</v>
      </c>
      <c r="BY73" t="s">
        <v>554</v>
      </c>
      <c r="BZ73" t="s">
        <v>543</v>
      </c>
      <c r="CA73" t="s">
        <v>555</v>
      </c>
    </row>
    <row r="74" spans="1:79" x14ac:dyDescent="0.35">
      <c r="A74">
        <v>201645</v>
      </c>
      <c r="B74" t="s">
        <v>499</v>
      </c>
      <c r="C74" t="s">
        <v>501</v>
      </c>
      <c r="D74" t="s">
        <v>499</v>
      </c>
      <c r="E74" t="s">
        <v>499</v>
      </c>
      <c r="F74" t="s">
        <v>499</v>
      </c>
      <c r="G74" t="s">
        <v>501</v>
      </c>
      <c r="H74" t="s">
        <v>521</v>
      </c>
      <c r="I74" t="s">
        <v>499</v>
      </c>
      <c r="J74" t="s">
        <v>502</v>
      </c>
      <c r="K74" t="s">
        <v>501</v>
      </c>
      <c r="L74" t="s">
        <v>499</v>
      </c>
      <c r="M74" t="s">
        <v>501</v>
      </c>
      <c r="N74">
        <v>39033</v>
      </c>
      <c r="O74">
        <v>19937</v>
      </c>
      <c r="P74">
        <v>19096</v>
      </c>
      <c r="S74">
        <v>11193</v>
      </c>
      <c r="T74">
        <v>5721</v>
      </c>
      <c r="U74">
        <v>5472</v>
      </c>
      <c r="X74">
        <v>1544</v>
      </c>
      <c r="Y74">
        <v>803</v>
      </c>
      <c r="Z74">
        <v>741</v>
      </c>
      <c r="AC74">
        <v>1544</v>
      </c>
      <c r="AD74">
        <v>803</v>
      </c>
      <c r="AE74">
        <v>741</v>
      </c>
      <c r="AM74">
        <v>661</v>
      </c>
      <c r="AN74">
        <v>43</v>
      </c>
      <c r="AO74">
        <v>359</v>
      </c>
      <c r="AP74">
        <v>23</v>
      </c>
      <c r="AQ74">
        <v>700</v>
      </c>
      <c r="AR74">
        <v>720</v>
      </c>
      <c r="AS74">
        <v>750</v>
      </c>
      <c r="AT74">
        <v>730</v>
      </c>
      <c r="AU74">
        <v>770</v>
      </c>
      <c r="AV74">
        <v>790</v>
      </c>
      <c r="AW74">
        <v>32</v>
      </c>
      <c r="AX74">
        <v>34</v>
      </c>
      <c r="AY74">
        <v>35</v>
      </c>
      <c r="AZ74">
        <v>33</v>
      </c>
      <c r="BA74">
        <v>34</v>
      </c>
      <c r="BB74">
        <v>35</v>
      </c>
      <c r="BC74">
        <v>31</v>
      </c>
      <c r="BD74">
        <v>33</v>
      </c>
      <c r="BE74">
        <v>35</v>
      </c>
      <c r="BF74">
        <v>29</v>
      </c>
      <c r="BG74">
        <v>29</v>
      </c>
      <c r="BH74">
        <v>29</v>
      </c>
      <c r="BI74" t="s">
        <v>42</v>
      </c>
      <c r="BJ74" t="s">
        <v>429</v>
      </c>
      <c r="BK74" t="s">
        <v>306</v>
      </c>
      <c r="BL74" t="s">
        <v>87</v>
      </c>
      <c r="BM74" t="s">
        <v>307</v>
      </c>
      <c r="BN74">
        <v>44106</v>
      </c>
      <c r="BO74" t="s">
        <v>503</v>
      </c>
      <c r="BP74" t="s">
        <v>504</v>
      </c>
      <c r="BQ74" t="s">
        <v>505</v>
      </c>
      <c r="BR74" t="s">
        <v>506</v>
      </c>
      <c r="BS74" t="s">
        <v>507</v>
      </c>
      <c r="BT74" t="s">
        <v>508</v>
      </c>
      <c r="BU74" t="s">
        <v>517</v>
      </c>
      <c r="BV74" t="s">
        <v>515</v>
      </c>
      <c r="BW74" t="s">
        <v>528</v>
      </c>
      <c r="BX74" t="s">
        <v>535</v>
      </c>
      <c r="BY74" t="s">
        <v>519</v>
      </c>
      <c r="BZ74" t="s">
        <v>508</v>
      </c>
      <c r="CA74" t="s">
        <v>540</v>
      </c>
    </row>
    <row r="75" spans="1:79" x14ac:dyDescent="0.35">
      <c r="A75">
        <v>202523</v>
      </c>
      <c r="B75" t="s">
        <v>499</v>
      </c>
      <c r="C75" t="s">
        <v>501</v>
      </c>
      <c r="D75" t="s">
        <v>499</v>
      </c>
      <c r="E75" t="s">
        <v>499</v>
      </c>
      <c r="F75" t="s">
        <v>499</v>
      </c>
      <c r="G75" t="s">
        <v>501</v>
      </c>
      <c r="H75" t="s">
        <v>521</v>
      </c>
      <c r="I75" t="s">
        <v>499</v>
      </c>
      <c r="J75" t="s">
        <v>502</v>
      </c>
      <c r="K75" t="s">
        <v>501</v>
      </c>
      <c r="L75" t="s">
        <v>499</v>
      </c>
      <c r="M75" t="s">
        <v>501</v>
      </c>
      <c r="N75">
        <v>14580</v>
      </c>
      <c r="O75">
        <v>7029</v>
      </c>
      <c r="P75">
        <v>7551</v>
      </c>
      <c r="Q75">
        <v>0</v>
      </c>
      <c r="R75">
        <v>0</v>
      </c>
      <c r="S75">
        <v>2468</v>
      </c>
      <c r="T75">
        <v>1110</v>
      </c>
      <c r="U75">
        <v>1358</v>
      </c>
      <c r="W75">
        <v>0</v>
      </c>
      <c r="X75">
        <v>636</v>
      </c>
      <c r="Y75">
        <v>292</v>
      </c>
      <c r="Z75">
        <v>344</v>
      </c>
      <c r="AB75">
        <v>0</v>
      </c>
      <c r="AC75">
        <v>636</v>
      </c>
      <c r="AD75">
        <v>292</v>
      </c>
      <c r="AE75">
        <v>344</v>
      </c>
      <c r="AG75">
        <v>0</v>
      </c>
      <c r="AM75">
        <v>167</v>
      </c>
      <c r="AN75">
        <v>26</v>
      </c>
      <c r="AO75">
        <v>159</v>
      </c>
      <c r="AP75">
        <v>25</v>
      </c>
      <c r="AQ75">
        <v>650</v>
      </c>
      <c r="AR75">
        <v>680</v>
      </c>
      <c r="AS75">
        <v>710</v>
      </c>
      <c r="AT75">
        <v>650</v>
      </c>
      <c r="AU75">
        <v>700</v>
      </c>
      <c r="AV75">
        <v>760</v>
      </c>
      <c r="AW75">
        <v>29</v>
      </c>
      <c r="AX75">
        <v>31</v>
      </c>
      <c r="AY75">
        <v>32</v>
      </c>
      <c r="AZ75">
        <v>29</v>
      </c>
      <c r="BA75">
        <v>33</v>
      </c>
      <c r="BB75">
        <v>34</v>
      </c>
      <c r="BC75">
        <v>26</v>
      </c>
      <c r="BD75">
        <v>28</v>
      </c>
      <c r="BE75">
        <v>30</v>
      </c>
      <c r="BF75">
        <v>17</v>
      </c>
      <c r="BG75">
        <v>16</v>
      </c>
      <c r="BH75">
        <v>18</v>
      </c>
      <c r="BI75" t="s">
        <v>51</v>
      </c>
      <c r="BJ75" t="s">
        <v>436</v>
      </c>
      <c r="BK75" t="s">
        <v>308</v>
      </c>
      <c r="BL75" t="s">
        <v>94</v>
      </c>
      <c r="BM75" t="s">
        <v>307</v>
      </c>
      <c r="BN75">
        <v>43023</v>
      </c>
      <c r="BO75" t="s">
        <v>532</v>
      </c>
      <c r="BP75" t="s">
        <v>533</v>
      </c>
      <c r="BQ75" t="s">
        <v>523</v>
      </c>
      <c r="BR75" t="s">
        <v>524</v>
      </c>
      <c r="BS75" t="s">
        <v>525</v>
      </c>
      <c r="BT75" t="s">
        <v>525</v>
      </c>
      <c r="BU75" t="s">
        <v>526</v>
      </c>
      <c r="BV75" t="s">
        <v>527</v>
      </c>
      <c r="BW75" t="s">
        <v>528</v>
      </c>
      <c r="BX75" t="s">
        <v>529</v>
      </c>
      <c r="BY75" t="s">
        <v>530</v>
      </c>
      <c r="BZ75" t="s">
        <v>525</v>
      </c>
      <c r="CA75" t="s">
        <v>531</v>
      </c>
    </row>
    <row r="76" spans="1:79" x14ac:dyDescent="0.35">
      <c r="A76">
        <v>203535</v>
      </c>
      <c r="B76" t="s">
        <v>499</v>
      </c>
      <c r="C76" t="s">
        <v>501</v>
      </c>
      <c r="D76" t="s">
        <v>499</v>
      </c>
      <c r="E76" t="s">
        <v>499</v>
      </c>
      <c r="F76" t="s">
        <v>499</v>
      </c>
      <c r="G76" t="s">
        <v>500</v>
      </c>
      <c r="H76" t="s">
        <v>521</v>
      </c>
      <c r="I76" t="s">
        <v>499</v>
      </c>
      <c r="J76" t="s">
        <v>502</v>
      </c>
      <c r="K76" t="s">
        <v>501</v>
      </c>
      <c r="L76" t="s">
        <v>501</v>
      </c>
      <c r="M76" t="s">
        <v>500</v>
      </c>
      <c r="N76">
        <v>8218</v>
      </c>
      <c r="O76">
        <v>3913</v>
      </c>
      <c r="P76">
        <v>4305</v>
      </c>
      <c r="S76">
        <v>2524</v>
      </c>
      <c r="T76">
        <v>1058</v>
      </c>
      <c r="U76">
        <v>1466</v>
      </c>
      <c r="X76">
        <v>455</v>
      </c>
      <c r="Y76">
        <v>194</v>
      </c>
      <c r="Z76">
        <v>261</v>
      </c>
      <c r="AC76">
        <v>455</v>
      </c>
      <c r="AD76">
        <v>194</v>
      </c>
      <c r="AE76">
        <v>261</v>
      </c>
      <c r="AM76">
        <v>90</v>
      </c>
      <c r="AN76">
        <v>20</v>
      </c>
      <c r="AO76">
        <v>77</v>
      </c>
      <c r="AP76">
        <v>17</v>
      </c>
      <c r="AQ76">
        <v>690</v>
      </c>
      <c r="AR76">
        <v>720</v>
      </c>
      <c r="AS76">
        <v>750</v>
      </c>
      <c r="AT76">
        <v>670</v>
      </c>
      <c r="AU76">
        <v>720</v>
      </c>
      <c r="AV76">
        <v>750</v>
      </c>
      <c r="AW76">
        <v>31</v>
      </c>
      <c r="AX76">
        <v>32</v>
      </c>
      <c r="AY76">
        <v>34</v>
      </c>
      <c r="AZ76">
        <v>33</v>
      </c>
      <c r="BA76">
        <v>35</v>
      </c>
      <c r="BB76">
        <v>35</v>
      </c>
      <c r="BC76">
        <v>27</v>
      </c>
      <c r="BD76">
        <v>28</v>
      </c>
      <c r="BE76">
        <v>31</v>
      </c>
      <c r="BF76">
        <v>31</v>
      </c>
      <c r="BG76">
        <v>27</v>
      </c>
      <c r="BH76">
        <v>34</v>
      </c>
      <c r="BI76" t="s">
        <v>61</v>
      </c>
      <c r="BJ76" t="s">
        <v>478</v>
      </c>
      <c r="BK76" t="s">
        <v>61</v>
      </c>
      <c r="BL76" t="s">
        <v>101</v>
      </c>
      <c r="BM76" t="s">
        <v>307</v>
      </c>
      <c r="BN76">
        <v>43022</v>
      </c>
      <c r="BO76" t="s">
        <v>532</v>
      </c>
      <c r="BP76" t="s">
        <v>533</v>
      </c>
      <c r="BQ76" t="s">
        <v>523</v>
      </c>
      <c r="BR76" t="s">
        <v>524</v>
      </c>
      <c r="BS76" t="s">
        <v>525</v>
      </c>
      <c r="BT76" t="s">
        <v>525</v>
      </c>
      <c r="BU76" t="s">
        <v>526</v>
      </c>
      <c r="BV76" t="s">
        <v>527</v>
      </c>
      <c r="BW76" t="s">
        <v>528</v>
      </c>
      <c r="BX76" t="s">
        <v>529</v>
      </c>
      <c r="BY76" t="s">
        <v>530</v>
      </c>
      <c r="BZ76" t="s">
        <v>525</v>
      </c>
      <c r="CA76" t="s">
        <v>531</v>
      </c>
    </row>
    <row r="77" spans="1:79" x14ac:dyDescent="0.35">
      <c r="A77">
        <v>204501</v>
      </c>
      <c r="B77" t="s">
        <v>499</v>
      </c>
      <c r="C77" t="s">
        <v>501</v>
      </c>
      <c r="D77" t="s">
        <v>499</v>
      </c>
      <c r="E77" t="s">
        <v>499</v>
      </c>
      <c r="F77" t="s">
        <v>499</v>
      </c>
      <c r="G77" t="s">
        <v>500</v>
      </c>
      <c r="H77" t="s">
        <v>521</v>
      </c>
      <c r="I77" t="s">
        <v>499</v>
      </c>
      <c r="J77" t="s">
        <v>502</v>
      </c>
      <c r="K77" t="s">
        <v>501</v>
      </c>
      <c r="L77" t="s">
        <v>501</v>
      </c>
      <c r="M77" t="s">
        <v>501</v>
      </c>
      <c r="N77">
        <v>11039</v>
      </c>
      <c r="O77">
        <v>4819</v>
      </c>
      <c r="P77">
        <v>6220</v>
      </c>
      <c r="R77">
        <v>0</v>
      </c>
      <c r="S77">
        <v>3641</v>
      </c>
      <c r="T77">
        <v>1403</v>
      </c>
      <c r="U77">
        <v>2238</v>
      </c>
      <c r="W77">
        <v>0</v>
      </c>
      <c r="X77">
        <v>779</v>
      </c>
      <c r="Y77">
        <v>323</v>
      </c>
      <c r="Z77">
        <v>456</v>
      </c>
      <c r="AB77">
        <v>0</v>
      </c>
      <c r="AC77">
        <v>779</v>
      </c>
      <c r="AD77">
        <v>323</v>
      </c>
      <c r="AE77">
        <v>456</v>
      </c>
      <c r="AG77">
        <v>0</v>
      </c>
      <c r="AM77">
        <v>276</v>
      </c>
      <c r="AN77">
        <v>35</v>
      </c>
      <c r="AO77">
        <v>147</v>
      </c>
      <c r="AP77">
        <v>19</v>
      </c>
      <c r="AQ77">
        <v>700</v>
      </c>
      <c r="AR77">
        <v>730</v>
      </c>
      <c r="AS77">
        <v>760</v>
      </c>
      <c r="AT77">
        <v>670</v>
      </c>
      <c r="AU77">
        <v>710</v>
      </c>
      <c r="AV77">
        <v>750</v>
      </c>
      <c r="AW77">
        <v>30</v>
      </c>
      <c r="AX77">
        <v>32</v>
      </c>
      <c r="AY77">
        <v>33</v>
      </c>
      <c r="AZ77">
        <v>32</v>
      </c>
      <c r="BA77">
        <v>35</v>
      </c>
      <c r="BB77">
        <v>35</v>
      </c>
      <c r="BC77">
        <v>28</v>
      </c>
      <c r="BD77">
        <v>30</v>
      </c>
      <c r="BE77">
        <v>32</v>
      </c>
      <c r="BF77">
        <v>33</v>
      </c>
      <c r="BG77">
        <v>29</v>
      </c>
      <c r="BH77">
        <v>36</v>
      </c>
      <c r="BI77" t="s">
        <v>23</v>
      </c>
      <c r="BJ77" t="s">
        <v>433</v>
      </c>
      <c r="BK77" t="s">
        <v>309</v>
      </c>
      <c r="BL77" t="s">
        <v>105</v>
      </c>
      <c r="BM77" t="s">
        <v>307</v>
      </c>
      <c r="BN77">
        <v>44074</v>
      </c>
      <c r="BO77" t="s">
        <v>503</v>
      </c>
      <c r="BP77" t="s">
        <v>522</v>
      </c>
      <c r="BQ77" t="s">
        <v>523</v>
      </c>
      <c r="BR77" t="s">
        <v>524</v>
      </c>
      <c r="BS77" t="s">
        <v>525</v>
      </c>
      <c r="BT77" t="s">
        <v>525</v>
      </c>
      <c r="BU77" t="s">
        <v>536</v>
      </c>
      <c r="BV77" t="s">
        <v>566</v>
      </c>
      <c r="BW77" t="s">
        <v>528</v>
      </c>
      <c r="BX77" t="s">
        <v>538</v>
      </c>
      <c r="BY77" t="s">
        <v>530</v>
      </c>
      <c r="BZ77" t="s">
        <v>525</v>
      </c>
      <c r="CA77" t="s">
        <v>531</v>
      </c>
    </row>
    <row r="78" spans="1:79" x14ac:dyDescent="0.35">
      <c r="A78">
        <v>209922</v>
      </c>
      <c r="B78" t="s">
        <v>499</v>
      </c>
      <c r="C78" t="s">
        <v>501</v>
      </c>
      <c r="D78" t="s">
        <v>499</v>
      </c>
      <c r="E78" t="s">
        <v>499</v>
      </c>
      <c r="F78" t="s">
        <v>499</v>
      </c>
      <c r="G78" t="s">
        <v>501</v>
      </c>
      <c r="H78" t="s">
        <v>521</v>
      </c>
      <c r="I78" t="s">
        <v>499</v>
      </c>
      <c r="J78" t="s">
        <v>502</v>
      </c>
      <c r="K78" t="s">
        <v>500</v>
      </c>
      <c r="L78" t="s">
        <v>499</v>
      </c>
      <c r="M78" t="s">
        <v>500</v>
      </c>
      <c r="N78">
        <v>10045</v>
      </c>
      <c r="O78">
        <v>4095</v>
      </c>
      <c r="P78">
        <v>5103</v>
      </c>
      <c r="Q78">
        <v>847</v>
      </c>
      <c r="R78">
        <v>0</v>
      </c>
      <c r="S78">
        <v>2728</v>
      </c>
      <c r="T78">
        <v>879</v>
      </c>
      <c r="U78">
        <v>1506</v>
      </c>
      <c r="V78">
        <v>343</v>
      </c>
      <c r="W78">
        <v>0</v>
      </c>
      <c r="X78">
        <v>351</v>
      </c>
      <c r="Y78">
        <v>130</v>
      </c>
      <c r="Z78">
        <v>154</v>
      </c>
      <c r="AA78">
        <v>67</v>
      </c>
      <c r="AB78">
        <v>0</v>
      </c>
      <c r="AC78">
        <v>351</v>
      </c>
      <c r="AD78">
        <v>130</v>
      </c>
      <c r="AE78">
        <v>154</v>
      </c>
      <c r="AF78">
        <v>67</v>
      </c>
      <c r="AG78">
        <v>0</v>
      </c>
      <c r="AM78">
        <v>169</v>
      </c>
      <c r="AN78">
        <v>48</v>
      </c>
      <c r="AO78">
        <v>81</v>
      </c>
      <c r="AP78">
        <v>23</v>
      </c>
      <c r="AQ78">
        <v>670</v>
      </c>
      <c r="AR78">
        <v>710</v>
      </c>
      <c r="AS78">
        <v>760</v>
      </c>
      <c r="AT78">
        <v>630</v>
      </c>
      <c r="AU78">
        <v>700</v>
      </c>
      <c r="AV78">
        <v>750</v>
      </c>
      <c r="AW78">
        <v>29</v>
      </c>
      <c r="AX78">
        <v>32</v>
      </c>
      <c r="AY78">
        <v>34</v>
      </c>
      <c r="AZ78">
        <v>32</v>
      </c>
      <c r="BA78">
        <v>34</v>
      </c>
      <c r="BB78">
        <v>35</v>
      </c>
      <c r="BC78">
        <v>27</v>
      </c>
      <c r="BD78">
        <v>29</v>
      </c>
      <c r="BE78">
        <v>32</v>
      </c>
      <c r="BF78">
        <v>27</v>
      </c>
      <c r="BG78">
        <v>21</v>
      </c>
      <c r="BH78">
        <v>30</v>
      </c>
      <c r="BI78" t="s">
        <v>158</v>
      </c>
      <c r="BJ78" t="s">
        <v>429</v>
      </c>
      <c r="BK78" t="s">
        <v>446</v>
      </c>
      <c r="BL78" t="s">
        <v>447</v>
      </c>
      <c r="BM78" t="s">
        <v>448</v>
      </c>
      <c r="BN78" t="s">
        <v>449</v>
      </c>
      <c r="BO78" t="s">
        <v>503</v>
      </c>
      <c r="BP78" t="s">
        <v>522</v>
      </c>
      <c r="BQ78" t="s">
        <v>523</v>
      </c>
      <c r="BR78" t="s">
        <v>524</v>
      </c>
      <c r="BS78" t="s">
        <v>525</v>
      </c>
      <c r="BT78" t="s">
        <v>525</v>
      </c>
      <c r="BU78" t="s">
        <v>526</v>
      </c>
      <c r="BV78" t="s">
        <v>566</v>
      </c>
      <c r="BW78" t="s">
        <v>528</v>
      </c>
      <c r="BX78" t="s">
        <v>538</v>
      </c>
      <c r="BY78" t="s">
        <v>530</v>
      </c>
      <c r="BZ78" t="s">
        <v>525</v>
      </c>
      <c r="CA78" t="s">
        <v>531</v>
      </c>
    </row>
    <row r="79" spans="1:79" x14ac:dyDescent="0.35">
      <c r="A79">
        <v>211291</v>
      </c>
      <c r="B79" t="s">
        <v>499</v>
      </c>
      <c r="C79" t="s">
        <v>501</v>
      </c>
      <c r="D79" t="s">
        <v>499</v>
      </c>
      <c r="E79" t="s">
        <v>499</v>
      </c>
      <c r="F79" t="s">
        <v>499</v>
      </c>
      <c r="G79" t="s">
        <v>501</v>
      </c>
      <c r="H79" t="s">
        <v>521</v>
      </c>
      <c r="I79" t="s">
        <v>499</v>
      </c>
      <c r="J79" t="s">
        <v>502</v>
      </c>
      <c r="K79" t="s">
        <v>501</v>
      </c>
      <c r="L79" t="s">
        <v>499</v>
      </c>
      <c r="M79" t="s">
        <v>501</v>
      </c>
      <c r="N79">
        <v>11010</v>
      </c>
      <c r="O79">
        <v>5538</v>
      </c>
      <c r="P79">
        <v>5472</v>
      </c>
      <c r="R79">
        <v>0</v>
      </c>
      <c r="S79">
        <v>3524</v>
      </c>
      <c r="T79">
        <v>1624</v>
      </c>
      <c r="U79">
        <v>1900</v>
      </c>
      <c r="W79">
        <v>0</v>
      </c>
      <c r="X79">
        <v>1030</v>
      </c>
      <c r="Y79">
        <v>469</v>
      </c>
      <c r="Z79">
        <v>561</v>
      </c>
      <c r="AB79">
        <v>0</v>
      </c>
      <c r="AC79">
        <v>1030</v>
      </c>
      <c r="AD79">
        <v>469</v>
      </c>
      <c r="AE79">
        <v>561</v>
      </c>
      <c r="AG79">
        <v>0</v>
      </c>
      <c r="AM79">
        <v>275</v>
      </c>
      <c r="AN79">
        <v>27</v>
      </c>
      <c r="AO79">
        <v>102</v>
      </c>
      <c r="AP79">
        <v>10</v>
      </c>
      <c r="AQ79">
        <v>640</v>
      </c>
      <c r="AR79">
        <v>680</v>
      </c>
      <c r="AS79">
        <v>710</v>
      </c>
      <c r="AT79">
        <v>660</v>
      </c>
      <c r="AU79">
        <v>690</v>
      </c>
      <c r="AV79">
        <v>740</v>
      </c>
      <c r="AW79">
        <v>31</v>
      </c>
      <c r="AX79">
        <v>32</v>
      </c>
      <c r="AY79">
        <v>33</v>
      </c>
      <c r="AZ79">
        <v>31</v>
      </c>
      <c r="BA79">
        <v>34</v>
      </c>
      <c r="BB79">
        <v>35</v>
      </c>
      <c r="BC79">
        <v>27</v>
      </c>
      <c r="BD79">
        <v>29</v>
      </c>
      <c r="BE79">
        <v>31</v>
      </c>
      <c r="BF79">
        <v>32</v>
      </c>
      <c r="BG79">
        <v>29</v>
      </c>
      <c r="BH79">
        <v>35</v>
      </c>
      <c r="BI79" t="s">
        <v>36</v>
      </c>
      <c r="BJ79" t="s">
        <v>434</v>
      </c>
      <c r="BK79" t="s">
        <v>310</v>
      </c>
      <c r="BL79" t="s">
        <v>84</v>
      </c>
      <c r="BM79" t="s">
        <v>311</v>
      </c>
      <c r="BN79">
        <v>17837</v>
      </c>
      <c r="BO79" t="s">
        <v>503</v>
      </c>
      <c r="BP79" t="s">
        <v>522</v>
      </c>
      <c r="BQ79" t="s">
        <v>523</v>
      </c>
      <c r="BR79" t="s">
        <v>524</v>
      </c>
      <c r="BS79" t="s">
        <v>525</v>
      </c>
      <c r="BT79" t="s">
        <v>525</v>
      </c>
      <c r="BU79" t="s">
        <v>546</v>
      </c>
      <c r="BV79" t="s">
        <v>567</v>
      </c>
      <c r="BW79" t="s">
        <v>528</v>
      </c>
      <c r="BX79" t="s">
        <v>538</v>
      </c>
      <c r="BY79" t="s">
        <v>554</v>
      </c>
      <c r="BZ79" t="s">
        <v>525</v>
      </c>
      <c r="CA79" t="s">
        <v>531</v>
      </c>
    </row>
    <row r="80" spans="1:79" x14ac:dyDescent="0.35">
      <c r="A80">
        <v>211440</v>
      </c>
      <c r="B80" t="s">
        <v>499</v>
      </c>
      <c r="C80" t="s">
        <v>501</v>
      </c>
      <c r="D80" t="s">
        <v>499</v>
      </c>
      <c r="E80" t="s">
        <v>499</v>
      </c>
      <c r="F80" t="s">
        <v>499</v>
      </c>
      <c r="G80" t="s">
        <v>499</v>
      </c>
      <c r="H80" t="s">
        <v>521</v>
      </c>
      <c r="I80" t="s">
        <v>499</v>
      </c>
      <c r="J80" t="s">
        <v>502</v>
      </c>
      <c r="K80" t="s">
        <v>501</v>
      </c>
      <c r="L80" t="s">
        <v>499</v>
      </c>
      <c r="M80" t="s">
        <v>500</v>
      </c>
      <c r="N80">
        <v>33707</v>
      </c>
      <c r="O80">
        <v>19656</v>
      </c>
      <c r="P80">
        <v>12853</v>
      </c>
      <c r="Q80">
        <v>1198</v>
      </c>
      <c r="R80">
        <v>0</v>
      </c>
      <c r="S80">
        <v>3843</v>
      </c>
      <c r="T80">
        <v>1808</v>
      </c>
      <c r="U80">
        <v>1878</v>
      </c>
      <c r="V80">
        <v>157</v>
      </c>
      <c r="W80">
        <v>0</v>
      </c>
      <c r="X80">
        <v>1708</v>
      </c>
      <c r="Y80">
        <v>852</v>
      </c>
      <c r="Z80">
        <v>786</v>
      </c>
      <c r="AA80">
        <v>70</v>
      </c>
      <c r="AB80">
        <v>0</v>
      </c>
      <c r="AC80">
        <v>1708</v>
      </c>
      <c r="AD80">
        <v>852</v>
      </c>
      <c r="AE80">
        <v>786</v>
      </c>
      <c r="AF80">
        <v>70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878</v>
      </c>
      <c r="AN80">
        <v>51</v>
      </c>
      <c r="AO80">
        <v>284</v>
      </c>
      <c r="AP80">
        <v>17</v>
      </c>
      <c r="AQ80">
        <v>730</v>
      </c>
      <c r="AR80">
        <v>750</v>
      </c>
      <c r="AS80">
        <v>770</v>
      </c>
      <c r="AT80">
        <v>770</v>
      </c>
      <c r="AU80">
        <v>790</v>
      </c>
      <c r="AV80">
        <v>800</v>
      </c>
      <c r="AW80">
        <v>34</v>
      </c>
      <c r="AX80">
        <v>35</v>
      </c>
      <c r="AY80">
        <v>35</v>
      </c>
      <c r="AZ80">
        <v>34</v>
      </c>
      <c r="BA80">
        <v>35</v>
      </c>
      <c r="BB80">
        <v>35</v>
      </c>
      <c r="BC80">
        <v>33</v>
      </c>
      <c r="BD80">
        <v>35</v>
      </c>
      <c r="BE80">
        <v>36</v>
      </c>
      <c r="BF80">
        <v>11</v>
      </c>
      <c r="BG80">
        <v>9</v>
      </c>
      <c r="BH80">
        <v>15</v>
      </c>
      <c r="BI80" t="s">
        <v>40</v>
      </c>
      <c r="BJ80" t="s">
        <v>429</v>
      </c>
      <c r="BK80" t="s">
        <v>312</v>
      </c>
      <c r="BL80" t="s">
        <v>86</v>
      </c>
      <c r="BM80" t="s">
        <v>311</v>
      </c>
      <c r="BN80" t="s">
        <v>313</v>
      </c>
      <c r="BO80" t="s">
        <v>503</v>
      </c>
      <c r="BP80" t="s">
        <v>520</v>
      </c>
      <c r="BQ80" t="s">
        <v>505</v>
      </c>
      <c r="BR80" t="s">
        <v>506</v>
      </c>
      <c r="BS80" t="s">
        <v>507</v>
      </c>
      <c r="BT80" t="s">
        <v>508</v>
      </c>
      <c r="BU80" t="s">
        <v>509</v>
      </c>
      <c r="BV80" t="s">
        <v>510</v>
      </c>
      <c r="BW80" t="s">
        <v>528</v>
      </c>
      <c r="BX80" t="s">
        <v>512</v>
      </c>
      <c r="BY80" t="s">
        <v>519</v>
      </c>
      <c r="BZ80" t="s">
        <v>508</v>
      </c>
      <c r="CA80" t="s">
        <v>540</v>
      </c>
    </row>
    <row r="81" spans="1:79" x14ac:dyDescent="0.35">
      <c r="A81">
        <v>212009</v>
      </c>
      <c r="B81" t="s">
        <v>499</v>
      </c>
      <c r="C81" t="s">
        <v>501</v>
      </c>
      <c r="D81" t="s">
        <v>499</v>
      </c>
      <c r="E81" t="s">
        <v>499</v>
      </c>
      <c r="F81" t="s">
        <v>501</v>
      </c>
      <c r="G81" t="s">
        <v>501</v>
      </c>
      <c r="H81" t="s">
        <v>521</v>
      </c>
      <c r="I81" t="s">
        <v>499</v>
      </c>
      <c r="J81" t="s">
        <v>521</v>
      </c>
      <c r="K81" t="s">
        <v>501</v>
      </c>
      <c r="L81" t="s">
        <v>501</v>
      </c>
      <c r="M81" t="s">
        <v>501</v>
      </c>
      <c r="N81">
        <v>7185</v>
      </c>
      <c r="O81">
        <v>2957</v>
      </c>
      <c r="P81">
        <v>4228</v>
      </c>
      <c r="R81">
        <v>0</v>
      </c>
      <c r="S81">
        <v>3095</v>
      </c>
      <c r="T81">
        <v>1085</v>
      </c>
      <c r="U81">
        <v>2010</v>
      </c>
      <c r="W81">
        <v>0</v>
      </c>
      <c r="X81">
        <v>525</v>
      </c>
      <c r="Y81">
        <v>202</v>
      </c>
      <c r="Z81">
        <v>323</v>
      </c>
      <c r="AB81">
        <v>0</v>
      </c>
      <c r="AC81">
        <v>525</v>
      </c>
      <c r="AD81">
        <v>202</v>
      </c>
      <c r="AE81">
        <v>323</v>
      </c>
      <c r="AG81">
        <v>0</v>
      </c>
      <c r="AH81">
        <v>0</v>
      </c>
      <c r="AI81">
        <v>0</v>
      </c>
      <c r="AJ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BF81">
        <v>43</v>
      </c>
      <c r="BG81">
        <v>37</v>
      </c>
      <c r="BH81">
        <v>48</v>
      </c>
      <c r="BI81" t="s">
        <v>52</v>
      </c>
      <c r="BJ81" t="s">
        <v>431</v>
      </c>
      <c r="BK81" t="s">
        <v>314</v>
      </c>
      <c r="BL81" t="s">
        <v>95</v>
      </c>
      <c r="BM81" t="s">
        <v>311</v>
      </c>
      <c r="BN81" t="s">
        <v>315</v>
      </c>
      <c r="BO81" t="s">
        <v>503</v>
      </c>
      <c r="BP81" t="s">
        <v>522</v>
      </c>
      <c r="BQ81" t="s">
        <v>523</v>
      </c>
      <c r="BR81" t="s">
        <v>524</v>
      </c>
      <c r="BS81" t="s">
        <v>525</v>
      </c>
      <c r="BT81" t="s">
        <v>525</v>
      </c>
      <c r="BU81" t="s">
        <v>568</v>
      </c>
      <c r="BV81" t="s">
        <v>527</v>
      </c>
      <c r="BW81" t="s">
        <v>528</v>
      </c>
      <c r="BX81" t="s">
        <v>529</v>
      </c>
      <c r="BY81" t="s">
        <v>530</v>
      </c>
      <c r="BZ81" t="s">
        <v>525</v>
      </c>
      <c r="CA81" t="s">
        <v>531</v>
      </c>
    </row>
    <row r="82" spans="1:79" x14ac:dyDescent="0.35">
      <c r="A82">
        <v>212577</v>
      </c>
      <c r="B82" t="s">
        <v>499</v>
      </c>
      <c r="C82" t="s">
        <v>501</v>
      </c>
      <c r="D82" t="s">
        <v>499</v>
      </c>
      <c r="E82" t="s">
        <v>499</v>
      </c>
      <c r="F82" t="s">
        <v>499</v>
      </c>
      <c r="G82" t="s">
        <v>501</v>
      </c>
      <c r="H82" t="s">
        <v>521</v>
      </c>
      <c r="I82" t="s">
        <v>499</v>
      </c>
      <c r="J82" t="s">
        <v>502</v>
      </c>
      <c r="K82" t="s">
        <v>501</v>
      </c>
      <c r="L82" t="s">
        <v>499</v>
      </c>
      <c r="M82" t="s">
        <v>501</v>
      </c>
      <c r="N82">
        <v>9231</v>
      </c>
      <c r="O82">
        <v>4544</v>
      </c>
      <c r="P82">
        <v>4687</v>
      </c>
      <c r="Q82">
        <v>0</v>
      </c>
      <c r="R82">
        <v>0</v>
      </c>
      <c r="S82">
        <v>2938</v>
      </c>
      <c r="T82">
        <v>1339</v>
      </c>
      <c r="U82">
        <v>1599</v>
      </c>
      <c r="W82">
        <v>0</v>
      </c>
      <c r="X82">
        <v>553</v>
      </c>
      <c r="Y82">
        <v>263</v>
      </c>
      <c r="Z82">
        <v>290</v>
      </c>
      <c r="AB82">
        <v>0</v>
      </c>
      <c r="AC82">
        <v>553</v>
      </c>
      <c r="AD82">
        <v>263</v>
      </c>
      <c r="AE82">
        <v>290</v>
      </c>
      <c r="AG82">
        <v>0</v>
      </c>
      <c r="AM82">
        <v>173</v>
      </c>
      <c r="AN82">
        <v>31</v>
      </c>
      <c r="AO82">
        <v>50</v>
      </c>
      <c r="AP82">
        <v>9</v>
      </c>
      <c r="AQ82">
        <v>658</v>
      </c>
      <c r="AR82">
        <v>700</v>
      </c>
      <c r="AS82">
        <v>730</v>
      </c>
      <c r="AT82">
        <v>640</v>
      </c>
      <c r="AU82">
        <v>690</v>
      </c>
      <c r="AV82">
        <v>730</v>
      </c>
      <c r="AW82">
        <v>29</v>
      </c>
      <c r="AX82">
        <v>31</v>
      </c>
      <c r="AY82">
        <v>32</v>
      </c>
      <c r="AZ82">
        <v>29</v>
      </c>
      <c r="BA82">
        <v>33</v>
      </c>
      <c r="BB82">
        <v>35</v>
      </c>
      <c r="BC82">
        <v>27</v>
      </c>
      <c r="BD82">
        <v>28</v>
      </c>
      <c r="BE82">
        <v>31</v>
      </c>
      <c r="BF82">
        <v>32</v>
      </c>
      <c r="BG82">
        <v>29</v>
      </c>
      <c r="BH82">
        <v>34</v>
      </c>
      <c r="BI82" t="s">
        <v>159</v>
      </c>
      <c r="BJ82" t="s">
        <v>431</v>
      </c>
      <c r="BK82" t="s">
        <v>387</v>
      </c>
      <c r="BL82" t="s">
        <v>388</v>
      </c>
      <c r="BM82" t="s">
        <v>311</v>
      </c>
      <c r="BN82" t="s">
        <v>389</v>
      </c>
      <c r="BO82" t="s">
        <v>532</v>
      </c>
      <c r="BP82" t="s">
        <v>533</v>
      </c>
      <c r="BQ82" t="s">
        <v>523</v>
      </c>
      <c r="BR82" t="s">
        <v>524</v>
      </c>
      <c r="BS82" t="s">
        <v>525</v>
      </c>
      <c r="BT82" t="s">
        <v>525</v>
      </c>
      <c r="BU82" t="s">
        <v>526</v>
      </c>
      <c r="BV82" t="s">
        <v>527</v>
      </c>
      <c r="BW82" t="s">
        <v>528</v>
      </c>
      <c r="BX82" t="s">
        <v>529</v>
      </c>
      <c r="BY82" t="s">
        <v>530</v>
      </c>
      <c r="BZ82" t="s">
        <v>525</v>
      </c>
      <c r="CA82" t="s">
        <v>531</v>
      </c>
    </row>
    <row r="83" spans="1:79" x14ac:dyDescent="0.35">
      <c r="A83">
        <v>212911</v>
      </c>
      <c r="B83" t="s">
        <v>501</v>
      </c>
      <c r="C83" t="s">
        <v>501</v>
      </c>
      <c r="D83" t="s">
        <v>499</v>
      </c>
      <c r="E83" t="s">
        <v>501</v>
      </c>
      <c r="F83" t="s">
        <v>499</v>
      </c>
      <c r="G83" t="s">
        <v>500</v>
      </c>
      <c r="H83" t="s">
        <v>521</v>
      </c>
      <c r="I83" t="s">
        <v>499</v>
      </c>
      <c r="J83" t="s">
        <v>502</v>
      </c>
      <c r="K83" t="s">
        <v>501</v>
      </c>
      <c r="L83" t="s">
        <v>499</v>
      </c>
      <c r="M83" t="s">
        <v>501</v>
      </c>
      <c r="N83">
        <v>6391</v>
      </c>
      <c r="O83">
        <v>3066</v>
      </c>
      <c r="P83">
        <v>3325</v>
      </c>
      <c r="Q83">
        <v>0</v>
      </c>
      <c r="R83">
        <v>0</v>
      </c>
      <c r="S83">
        <v>825</v>
      </c>
      <c r="T83">
        <v>351</v>
      </c>
      <c r="U83">
        <v>474</v>
      </c>
      <c r="W83">
        <v>0</v>
      </c>
      <c r="X83">
        <v>373</v>
      </c>
      <c r="Y83">
        <v>153</v>
      </c>
      <c r="Z83">
        <v>220</v>
      </c>
      <c r="AB83">
        <v>0</v>
      </c>
      <c r="AC83">
        <v>373</v>
      </c>
      <c r="AD83">
        <v>153</v>
      </c>
      <c r="AE83">
        <v>220</v>
      </c>
      <c r="AG83">
        <v>0</v>
      </c>
      <c r="AM83">
        <v>148</v>
      </c>
      <c r="AN83">
        <v>40</v>
      </c>
      <c r="AO83">
        <v>51</v>
      </c>
      <c r="AP83">
        <v>14</v>
      </c>
      <c r="AQ83">
        <v>710</v>
      </c>
      <c r="AR83">
        <v>730</v>
      </c>
      <c r="AS83">
        <v>760</v>
      </c>
      <c r="AT83">
        <v>720</v>
      </c>
      <c r="AU83">
        <v>760</v>
      </c>
      <c r="AV83">
        <v>780</v>
      </c>
      <c r="AW83">
        <v>33</v>
      </c>
      <c r="AX83">
        <v>34</v>
      </c>
      <c r="AY83">
        <v>35</v>
      </c>
      <c r="AZ83">
        <v>33</v>
      </c>
      <c r="BA83">
        <v>35</v>
      </c>
      <c r="BB83">
        <v>35</v>
      </c>
      <c r="BC83">
        <v>30</v>
      </c>
      <c r="BD83">
        <v>32</v>
      </c>
      <c r="BE83">
        <v>34</v>
      </c>
      <c r="BF83">
        <v>13</v>
      </c>
      <c r="BG83">
        <v>11</v>
      </c>
      <c r="BH83">
        <v>14</v>
      </c>
      <c r="BI83" t="s">
        <v>160</v>
      </c>
      <c r="BJ83" t="s">
        <v>430</v>
      </c>
      <c r="BK83" t="s">
        <v>316</v>
      </c>
      <c r="BL83" t="s">
        <v>5</v>
      </c>
      <c r="BM83" t="s">
        <v>311</v>
      </c>
      <c r="BN83" t="s">
        <v>317</v>
      </c>
      <c r="BO83" t="s">
        <v>532</v>
      </c>
      <c r="BP83" t="s">
        <v>533</v>
      </c>
      <c r="BQ83" t="s">
        <v>523</v>
      </c>
      <c r="BR83" t="s">
        <v>524</v>
      </c>
      <c r="BS83" t="s">
        <v>525</v>
      </c>
      <c r="BT83" t="s">
        <v>525</v>
      </c>
      <c r="BU83" t="s">
        <v>526</v>
      </c>
      <c r="BV83" t="s">
        <v>527</v>
      </c>
      <c r="BW83" t="s">
        <v>528</v>
      </c>
      <c r="BX83" t="s">
        <v>529</v>
      </c>
      <c r="BY83" t="s">
        <v>530</v>
      </c>
      <c r="BZ83" t="s">
        <v>525</v>
      </c>
      <c r="CA83" t="s">
        <v>531</v>
      </c>
    </row>
    <row r="84" spans="1:79" x14ac:dyDescent="0.35">
      <c r="A84">
        <v>213385</v>
      </c>
      <c r="B84" t="s">
        <v>499</v>
      </c>
      <c r="C84" t="s">
        <v>501</v>
      </c>
      <c r="D84" t="s">
        <v>499</v>
      </c>
      <c r="E84" t="s">
        <v>501</v>
      </c>
      <c r="F84" t="s">
        <v>499</v>
      </c>
      <c r="G84" t="s">
        <v>501</v>
      </c>
      <c r="H84" t="s">
        <v>521</v>
      </c>
      <c r="I84" t="s">
        <v>499</v>
      </c>
      <c r="J84" t="s">
        <v>502</v>
      </c>
      <c r="K84" t="s">
        <v>501</v>
      </c>
      <c r="L84" t="s">
        <v>499</v>
      </c>
      <c r="M84" t="s">
        <v>501</v>
      </c>
      <c r="N84">
        <v>9874</v>
      </c>
      <c r="O84">
        <v>5160</v>
      </c>
      <c r="P84">
        <v>4714</v>
      </c>
      <c r="R84">
        <v>0</v>
      </c>
      <c r="S84">
        <v>3107</v>
      </c>
      <c r="T84">
        <v>1523</v>
      </c>
      <c r="U84">
        <v>1584</v>
      </c>
      <c r="W84">
        <v>0</v>
      </c>
      <c r="X84">
        <v>697</v>
      </c>
      <c r="Y84">
        <v>377</v>
      </c>
      <c r="Z84">
        <v>320</v>
      </c>
      <c r="AB84">
        <v>0</v>
      </c>
      <c r="AC84">
        <v>697</v>
      </c>
      <c r="AD84">
        <v>377</v>
      </c>
      <c r="AE84">
        <v>320</v>
      </c>
      <c r="AG84">
        <v>0</v>
      </c>
      <c r="AM84">
        <v>217</v>
      </c>
      <c r="AN84">
        <v>31</v>
      </c>
      <c r="AO84">
        <v>99</v>
      </c>
      <c r="AP84">
        <v>14</v>
      </c>
      <c r="AQ84">
        <v>670</v>
      </c>
      <c r="AR84">
        <v>700</v>
      </c>
      <c r="AS84">
        <v>730</v>
      </c>
      <c r="AT84">
        <v>670</v>
      </c>
      <c r="AU84">
        <v>710</v>
      </c>
      <c r="AV84">
        <v>760</v>
      </c>
      <c r="AW84">
        <v>30</v>
      </c>
      <c r="AX84">
        <v>32</v>
      </c>
      <c r="AY84">
        <v>33</v>
      </c>
      <c r="AZ84">
        <v>31</v>
      </c>
      <c r="BA84">
        <v>34</v>
      </c>
      <c r="BB84">
        <v>35</v>
      </c>
      <c r="BC84">
        <v>27</v>
      </c>
      <c r="BD84">
        <v>30</v>
      </c>
      <c r="BE84">
        <v>32</v>
      </c>
      <c r="BF84">
        <v>31</v>
      </c>
      <c r="BG84">
        <v>30</v>
      </c>
      <c r="BH84">
        <v>34</v>
      </c>
      <c r="BI84" t="s">
        <v>62</v>
      </c>
      <c r="BJ84" t="s">
        <v>430</v>
      </c>
      <c r="BK84" t="s">
        <v>318</v>
      </c>
      <c r="BL84" t="s">
        <v>102</v>
      </c>
      <c r="BM84" t="s">
        <v>311</v>
      </c>
      <c r="BN84" t="s">
        <v>319</v>
      </c>
      <c r="BO84" t="s">
        <v>532</v>
      </c>
      <c r="BP84" t="s">
        <v>533</v>
      </c>
      <c r="BQ84" t="s">
        <v>523</v>
      </c>
      <c r="BR84" t="s">
        <v>524</v>
      </c>
      <c r="BS84" t="s">
        <v>525</v>
      </c>
      <c r="BT84" t="s">
        <v>525</v>
      </c>
      <c r="BU84" t="s">
        <v>568</v>
      </c>
      <c r="BV84" t="s">
        <v>527</v>
      </c>
      <c r="BW84" t="s">
        <v>528</v>
      </c>
      <c r="BX84" t="s">
        <v>529</v>
      </c>
      <c r="BY84" t="s">
        <v>530</v>
      </c>
      <c r="BZ84" t="s">
        <v>525</v>
      </c>
      <c r="CA84" t="s">
        <v>531</v>
      </c>
    </row>
    <row r="85" spans="1:79" x14ac:dyDescent="0.35">
      <c r="A85">
        <v>213543</v>
      </c>
      <c r="B85" t="s">
        <v>499</v>
      </c>
      <c r="C85" t="s">
        <v>500</v>
      </c>
      <c r="D85" t="s">
        <v>499</v>
      </c>
      <c r="E85" t="s">
        <v>501</v>
      </c>
      <c r="F85" t="s">
        <v>499</v>
      </c>
      <c r="G85" t="s">
        <v>500</v>
      </c>
      <c r="H85" t="s">
        <v>521</v>
      </c>
      <c r="I85" t="s">
        <v>499</v>
      </c>
      <c r="J85" t="s">
        <v>502</v>
      </c>
      <c r="K85" t="s">
        <v>501</v>
      </c>
      <c r="L85" t="s">
        <v>499</v>
      </c>
      <c r="M85" t="s">
        <v>501</v>
      </c>
      <c r="N85">
        <v>18415</v>
      </c>
      <c r="O85">
        <v>9193</v>
      </c>
      <c r="P85">
        <v>9222</v>
      </c>
      <c r="Q85">
        <v>0</v>
      </c>
      <c r="R85">
        <v>0</v>
      </c>
      <c r="S85">
        <v>5389</v>
      </c>
      <c r="T85">
        <v>2536</v>
      </c>
      <c r="U85">
        <v>2853</v>
      </c>
      <c r="W85">
        <v>0</v>
      </c>
      <c r="X85">
        <v>1531</v>
      </c>
      <c r="Y85">
        <v>763</v>
      </c>
      <c r="Z85">
        <v>768</v>
      </c>
      <c r="AB85">
        <v>0</v>
      </c>
      <c r="AC85">
        <v>1531</v>
      </c>
      <c r="AD85">
        <v>763</v>
      </c>
      <c r="AE85">
        <v>768</v>
      </c>
      <c r="AG85">
        <v>0</v>
      </c>
      <c r="AM85">
        <v>500</v>
      </c>
      <c r="AN85">
        <v>33</v>
      </c>
      <c r="AO85">
        <v>152</v>
      </c>
      <c r="AP85">
        <v>10</v>
      </c>
      <c r="AQ85">
        <v>670</v>
      </c>
      <c r="AR85">
        <v>710</v>
      </c>
      <c r="AS85">
        <v>730</v>
      </c>
      <c r="AT85">
        <v>680</v>
      </c>
      <c r="AU85">
        <v>720</v>
      </c>
      <c r="AV85">
        <v>760</v>
      </c>
      <c r="AW85">
        <v>31</v>
      </c>
      <c r="AX85">
        <v>32</v>
      </c>
      <c r="AY85">
        <v>33</v>
      </c>
      <c r="AZ85">
        <v>31</v>
      </c>
      <c r="BA85">
        <v>34</v>
      </c>
      <c r="BB85">
        <v>35</v>
      </c>
      <c r="BC85">
        <v>28</v>
      </c>
      <c r="BD85">
        <v>30</v>
      </c>
      <c r="BE85">
        <v>32</v>
      </c>
      <c r="BF85">
        <v>29</v>
      </c>
      <c r="BG85">
        <v>28</v>
      </c>
      <c r="BH85">
        <v>31</v>
      </c>
      <c r="BI85" t="s">
        <v>63</v>
      </c>
      <c r="BJ85" t="s">
        <v>431</v>
      </c>
      <c r="BK85" t="s">
        <v>320</v>
      </c>
      <c r="BL85" t="s">
        <v>103</v>
      </c>
      <c r="BM85" t="s">
        <v>311</v>
      </c>
      <c r="BN85">
        <v>18015</v>
      </c>
      <c r="BO85" t="s">
        <v>503</v>
      </c>
      <c r="BP85" t="s">
        <v>520</v>
      </c>
      <c r="BQ85" t="s">
        <v>505</v>
      </c>
      <c r="BR85" t="s">
        <v>544</v>
      </c>
      <c r="BS85" t="s">
        <v>542</v>
      </c>
      <c r="BT85" t="s">
        <v>543</v>
      </c>
      <c r="BU85" t="s">
        <v>550</v>
      </c>
      <c r="BV85" t="s">
        <v>510</v>
      </c>
      <c r="BW85" t="s">
        <v>528</v>
      </c>
      <c r="BX85" t="s">
        <v>516</v>
      </c>
      <c r="BY85" t="s">
        <v>561</v>
      </c>
      <c r="BZ85" t="s">
        <v>543</v>
      </c>
      <c r="CA85" t="s">
        <v>555</v>
      </c>
    </row>
    <row r="86" spans="1:79" x14ac:dyDescent="0.35">
      <c r="A86">
        <v>215062</v>
      </c>
      <c r="B86" t="s">
        <v>499</v>
      </c>
      <c r="C86" t="s">
        <v>501</v>
      </c>
      <c r="D86" t="s">
        <v>499</v>
      </c>
      <c r="E86" t="s">
        <v>501</v>
      </c>
      <c r="F86" t="s">
        <v>499</v>
      </c>
      <c r="G86" t="s">
        <v>501</v>
      </c>
      <c r="H86" t="s">
        <v>521</v>
      </c>
      <c r="I86" t="s">
        <v>521</v>
      </c>
      <c r="J86" t="s">
        <v>502</v>
      </c>
      <c r="K86" t="s">
        <v>500</v>
      </c>
      <c r="L86" t="s">
        <v>501</v>
      </c>
      <c r="M86" t="s">
        <v>501</v>
      </c>
      <c r="N86">
        <v>59465</v>
      </c>
      <c r="O86">
        <v>27128</v>
      </c>
      <c r="P86">
        <v>32337</v>
      </c>
      <c r="Q86">
        <v>0</v>
      </c>
      <c r="R86">
        <v>0</v>
      </c>
      <c r="S86">
        <v>3489</v>
      </c>
      <c r="T86">
        <v>1602</v>
      </c>
      <c r="U86">
        <v>1887</v>
      </c>
      <c r="W86">
        <v>0</v>
      </c>
      <c r="X86">
        <v>2416</v>
      </c>
      <c r="Y86">
        <v>1114</v>
      </c>
      <c r="Z86">
        <v>1302</v>
      </c>
      <c r="AB86">
        <v>0</v>
      </c>
      <c r="AC86">
        <v>2416</v>
      </c>
      <c r="AD86">
        <v>1114</v>
      </c>
      <c r="AE86">
        <v>1302</v>
      </c>
      <c r="AG86">
        <v>0</v>
      </c>
      <c r="AM86">
        <v>1225</v>
      </c>
      <c r="AN86">
        <v>51</v>
      </c>
      <c r="AO86">
        <v>452</v>
      </c>
      <c r="AP86">
        <v>19</v>
      </c>
      <c r="AQ86">
        <v>730</v>
      </c>
      <c r="AR86">
        <v>750</v>
      </c>
      <c r="AS86">
        <v>770</v>
      </c>
      <c r="AT86">
        <v>770</v>
      </c>
      <c r="AU86">
        <v>790</v>
      </c>
      <c r="AV86">
        <v>800</v>
      </c>
      <c r="AW86">
        <v>34</v>
      </c>
      <c r="AX86">
        <v>35</v>
      </c>
      <c r="AY86">
        <v>35</v>
      </c>
      <c r="AZ86">
        <v>35</v>
      </c>
      <c r="BA86">
        <v>35</v>
      </c>
      <c r="BB86">
        <v>36</v>
      </c>
      <c r="BC86">
        <v>33</v>
      </c>
      <c r="BD86">
        <v>35</v>
      </c>
      <c r="BE86">
        <v>36</v>
      </c>
      <c r="BF86">
        <v>6</v>
      </c>
      <c r="BG86">
        <v>6</v>
      </c>
      <c r="BH86">
        <v>6</v>
      </c>
      <c r="BI86" t="s">
        <v>15</v>
      </c>
      <c r="BJ86" t="s">
        <v>429</v>
      </c>
      <c r="BK86" t="s">
        <v>321</v>
      </c>
      <c r="BL86" t="s">
        <v>122</v>
      </c>
      <c r="BM86" t="s">
        <v>311</v>
      </c>
      <c r="BN86" t="s">
        <v>322</v>
      </c>
      <c r="BO86" t="s">
        <v>503</v>
      </c>
      <c r="BP86" t="s">
        <v>504</v>
      </c>
      <c r="BQ86" t="s">
        <v>505</v>
      </c>
      <c r="BR86" t="s">
        <v>506</v>
      </c>
      <c r="BS86" t="s">
        <v>507</v>
      </c>
      <c r="BT86" t="s">
        <v>508</v>
      </c>
      <c r="BU86" t="s">
        <v>517</v>
      </c>
      <c r="BV86" t="s">
        <v>515</v>
      </c>
      <c r="BW86" t="s">
        <v>528</v>
      </c>
      <c r="BX86" t="s">
        <v>535</v>
      </c>
      <c r="BY86" t="s">
        <v>519</v>
      </c>
      <c r="BZ86" t="s">
        <v>508</v>
      </c>
      <c r="CA86" t="s">
        <v>514</v>
      </c>
    </row>
    <row r="87" spans="1:79" x14ac:dyDescent="0.35">
      <c r="A87">
        <v>216287</v>
      </c>
      <c r="B87" t="s">
        <v>501</v>
      </c>
      <c r="C87" t="s">
        <v>501</v>
      </c>
      <c r="D87" t="s">
        <v>499</v>
      </c>
      <c r="E87" t="s">
        <v>501</v>
      </c>
      <c r="F87" t="s">
        <v>499</v>
      </c>
      <c r="G87" t="s">
        <v>501</v>
      </c>
      <c r="H87" t="s">
        <v>521</v>
      </c>
      <c r="I87" t="s">
        <v>521</v>
      </c>
      <c r="J87" t="s">
        <v>502</v>
      </c>
      <c r="K87" t="s">
        <v>501</v>
      </c>
      <c r="L87" t="s">
        <v>499</v>
      </c>
      <c r="M87" t="s">
        <v>501</v>
      </c>
      <c r="N87">
        <v>14287</v>
      </c>
      <c r="O87">
        <v>5991</v>
      </c>
      <c r="P87">
        <v>8296</v>
      </c>
      <c r="R87">
        <v>0</v>
      </c>
      <c r="S87">
        <v>992</v>
      </c>
      <c r="T87">
        <v>490</v>
      </c>
      <c r="U87">
        <v>502</v>
      </c>
      <c r="W87">
        <v>0</v>
      </c>
      <c r="X87">
        <v>415</v>
      </c>
      <c r="Y87">
        <v>208</v>
      </c>
      <c r="Z87">
        <v>207</v>
      </c>
      <c r="AB87">
        <v>0</v>
      </c>
      <c r="AC87">
        <v>415</v>
      </c>
      <c r="AD87">
        <v>208</v>
      </c>
      <c r="AE87">
        <v>207</v>
      </c>
      <c r="AG87">
        <v>0</v>
      </c>
      <c r="AM87">
        <v>168</v>
      </c>
      <c r="AN87">
        <v>40</v>
      </c>
      <c r="AO87">
        <v>57</v>
      </c>
      <c r="AP87">
        <v>14</v>
      </c>
      <c r="AQ87">
        <v>720</v>
      </c>
      <c r="AR87">
        <v>750</v>
      </c>
      <c r="AS87">
        <v>770</v>
      </c>
      <c r="AT87">
        <v>740</v>
      </c>
      <c r="AU87">
        <v>780</v>
      </c>
      <c r="AV87">
        <v>790</v>
      </c>
      <c r="AW87">
        <v>33</v>
      </c>
      <c r="AX87">
        <v>34</v>
      </c>
      <c r="AY87">
        <v>34</v>
      </c>
      <c r="AZ87">
        <v>34</v>
      </c>
      <c r="BA87">
        <v>35</v>
      </c>
      <c r="BB87">
        <v>35</v>
      </c>
      <c r="BC87">
        <v>31</v>
      </c>
      <c r="BD87">
        <v>33</v>
      </c>
      <c r="BE87">
        <v>35</v>
      </c>
      <c r="BF87">
        <v>7</v>
      </c>
      <c r="BG87">
        <v>8</v>
      </c>
      <c r="BH87">
        <v>6</v>
      </c>
      <c r="BI87" t="s">
        <v>41</v>
      </c>
      <c r="BJ87" t="s">
        <v>430</v>
      </c>
      <c r="BK87" t="s">
        <v>323</v>
      </c>
      <c r="BL87" t="s">
        <v>11</v>
      </c>
      <c r="BM87" t="s">
        <v>311</v>
      </c>
      <c r="BN87">
        <v>19081</v>
      </c>
      <c r="BO87" t="s">
        <v>532</v>
      </c>
      <c r="BP87" t="s">
        <v>533</v>
      </c>
      <c r="BQ87" t="s">
        <v>523</v>
      </c>
      <c r="BR87" t="s">
        <v>524</v>
      </c>
      <c r="BS87" t="s">
        <v>525</v>
      </c>
      <c r="BT87" t="s">
        <v>525</v>
      </c>
      <c r="BU87" t="s">
        <v>526</v>
      </c>
      <c r="BV87" t="s">
        <v>527</v>
      </c>
      <c r="BW87" t="s">
        <v>528</v>
      </c>
      <c r="BX87" t="s">
        <v>529</v>
      </c>
      <c r="BY87" t="s">
        <v>530</v>
      </c>
      <c r="BZ87" t="s">
        <v>525</v>
      </c>
      <c r="CA87" t="s">
        <v>531</v>
      </c>
    </row>
    <row r="88" spans="1:79" x14ac:dyDescent="0.35">
      <c r="A88">
        <v>216597</v>
      </c>
      <c r="B88" t="s">
        <v>499</v>
      </c>
      <c r="C88" t="s">
        <v>501</v>
      </c>
      <c r="D88" t="s">
        <v>499</v>
      </c>
      <c r="E88" t="s">
        <v>499</v>
      </c>
      <c r="F88" t="s">
        <v>499</v>
      </c>
      <c r="G88" t="s">
        <v>500</v>
      </c>
      <c r="H88" t="s">
        <v>521</v>
      </c>
      <c r="I88" t="s">
        <v>499</v>
      </c>
      <c r="J88" t="s">
        <v>502</v>
      </c>
      <c r="K88" t="s">
        <v>500</v>
      </c>
      <c r="L88" t="s">
        <v>499</v>
      </c>
      <c r="M88" t="s">
        <v>501</v>
      </c>
      <c r="N88">
        <v>23127</v>
      </c>
      <c r="O88">
        <v>10239</v>
      </c>
      <c r="P88">
        <v>12888</v>
      </c>
      <c r="S88">
        <v>5810</v>
      </c>
      <c r="T88">
        <v>2610</v>
      </c>
      <c r="U88">
        <v>3200</v>
      </c>
      <c r="X88">
        <v>1740</v>
      </c>
      <c r="Y88">
        <v>789</v>
      </c>
      <c r="Z88">
        <v>951</v>
      </c>
      <c r="AC88">
        <v>1699</v>
      </c>
      <c r="AD88">
        <v>754</v>
      </c>
      <c r="AE88">
        <v>945</v>
      </c>
      <c r="AH88">
        <v>41</v>
      </c>
      <c r="AI88">
        <v>35</v>
      </c>
      <c r="AJ88">
        <v>6</v>
      </c>
      <c r="AM88">
        <v>427</v>
      </c>
      <c r="AN88">
        <v>25</v>
      </c>
      <c r="AO88">
        <v>193</v>
      </c>
      <c r="AP88">
        <v>11</v>
      </c>
      <c r="AQ88">
        <v>690</v>
      </c>
      <c r="AR88">
        <v>720</v>
      </c>
      <c r="AS88">
        <v>740</v>
      </c>
      <c r="AT88">
        <v>710</v>
      </c>
      <c r="AU88">
        <v>740</v>
      </c>
      <c r="AV88">
        <v>770</v>
      </c>
      <c r="AW88">
        <v>32</v>
      </c>
      <c r="AX88">
        <v>33</v>
      </c>
      <c r="AY88">
        <v>34</v>
      </c>
      <c r="AZ88">
        <v>32</v>
      </c>
      <c r="BA88">
        <v>34</v>
      </c>
      <c r="BB88">
        <v>35</v>
      </c>
      <c r="BC88">
        <v>29</v>
      </c>
      <c r="BD88">
        <v>31</v>
      </c>
      <c r="BE88">
        <v>34</v>
      </c>
      <c r="BF88">
        <v>25</v>
      </c>
      <c r="BG88">
        <v>25</v>
      </c>
      <c r="BH88">
        <v>25</v>
      </c>
      <c r="BI88" t="s">
        <v>75</v>
      </c>
      <c r="BJ88" t="s">
        <v>430</v>
      </c>
      <c r="BK88" t="s">
        <v>324</v>
      </c>
      <c r="BL88" t="s">
        <v>18</v>
      </c>
      <c r="BM88" t="s">
        <v>311</v>
      </c>
      <c r="BN88" t="s">
        <v>325</v>
      </c>
      <c r="BO88" t="s">
        <v>503</v>
      </c>
      <c r="BP88" t="s">
        <v>504</v>
      </c>
      <c r="BQ88" t="s">
        <v>547</v>
      </c>
      <c r="BR88" t="s">
        <v>565</v>
      </c>
      <c r="BS88" t="s">
        <v>557</v>
      </c>
      <c r="BT88" t="s">
        <v>543</v>
      </c>
      <c r="BU88" t="s">
        <v>517</v>
      </c>
      <c r="BV88" t="s">
        <v>539</v>
      </c>
      <c r="BW88" t="s">
        <v>528</v>
      </c>
      <c r="BX88" t="s">
        <v>516</v>
      </c>
      <c r="BY88" t="s">
        <v>554</v>
      </c>
      <c r="BZ88" t="s">
        <v>543</v>
      </c>
      <c r="CA88" t="s">
        <v>540</v>
      </c>
    </row>
    <row r="89" spans="1:79" x14ac:dyDescent="0.35">
      <c r="A89">
        <v>217156</v>
      </c>
      <c r="B89" t="s">
        <v>501</v>
      </c>
      <c r="C89" t="s">
        <v>501</v>
      </c>
      <c r="D89" t="s">
        <v>499</v>
      </c>
      <c r="E89" t="s">
        <v>499</v>
      </c>
      <c r="F89" t="s">
        <v>499</v>
      </c>
      <c r="G89" t="s">
        <v>500</v>
      </c>
      <c r="H89" t="s">
        <v>521</v>
      </c>
      <c r="I89" t="s">
        <v>521</v>
      </c>
      <c r="J89" t="s">
        <v>502</v>
      </c>
      <c r="K89" t="s">
        <v>501</v>
      </c>
      <c r="L89" t="s">
        <v>499</v>
      </c>
      <c r="M89" t="s">
        <v>501</v>
      </c>
      <c r="N89">
        <v>51316</v>
      </c>
      <c r="O89">
        <v>19666</v>
      </c>
      <c r="P89">
        <v>31650</v>
      </c>
      <c r="R89">
        <v>0</v>
      </c>
      <c r="S89">
        <v>2686</v>
      </c>
      <c r="T89">
        <v>1350</v>
      </c>
      <c r="U89">
        <v>1336</v>
      </c>
      <c r="W89">
        <v>0</v>
      </c>
      <c r="X89">
        <v>1695</v>
      </c>
      <c r="Y89">
        <v>847</v>
      </c>
      <c r="Z89">
        <v>848</v>
      </c>
      <c r="AB89">
        <v>0</v>
      </c>
      <c r="AC89">
        <v>1695</v>
      </c>
      <c r="AD89">
        <v>847</v>
      </c>
      <c r="AE89">
        <v>848</v>
      </c>
      <c r="AG89">
        <v>0</v>
      </c>
      <c r="AM89">
        <v>914</v>
      </c>
      <c r="AN89">
        <v>54</v>
      </c>
      <c r="AO89">
        <v>379</v>
      </c>
      <c r="AP89">
        <v>22</v>
      </c>
      <c r="AQ89">
        <v>740</v>
      </c>
      <c r="AR89">
        <v>760</v>
      </c>
      <c r="AS89">
        <v>770</v>
      </c>
      <c r="AT89">
        <v>760</v>
      </c>
      <c r="AU89">
        <v>780</v>
      </c>
      <c r="AV89">
        <v>800</v>
      </c>
      <c r="AW89">
        <v>34</v>
      </c>
      <c r="AX89">
        <v>35</v>
      </c>
      <c r="AY89">
        <v>35</v>
      </c>
      <c r="AZ89">
        <v>35</v>
      </c>
      <c r="BA89">
        <v>35</v>
      </c>
      <c r="BB89">
        <v>36</v>
      </c>
      <c r="BC89">
        <v>32</v>
      </c>
      <c r="BD89">
        <v>34</v>
      </c>
      <c r="BE89">
        <v>35</v>
      </c>
      <c r="BF89">
        <v>5</v>
      </c>
      <c r="BG89">
        <v>7</v>
      </c>
      <c r="BH89">
        <v>4</v>
      </c>
      <c r="BI89" t="s">
        <v>34</v>
      </c>
      <c r="BJ89" t="s">
        <v>428</v>
      </c>
      <c r="BK89" t="s">
        <v>326</v>
      </c>
      <c r="BL89" t="s">
        <v>83</v>
      </c>
      <c r="BM89" t="s">
        <v>327</v>
      </c>
      <c r="BN89">
        <v>2912</v>
      </c>
      <c r="BO89" t="s">
        <v>503</v>
      </c>
      <c r="BP89" t="s">
        <v>504</v>
      </c>
      <c r="BQ89" t="s">
        <v>505</v>
      </c>
      <c r="BR89" t="s">
        <v>506</v>
      </c>
      <c r="BS89" t="s">
        <v>507</v>
      </c>
      <c r="BT89" t="s">
        <v>508</v>
      </c>
      <c r="BU89" t="s">
        <v>518</v>
      </c>
      <c r="BV89" t="s">
        <v>515</v>
      </c>
      <c r="BW89" t="s">
        <v>528</v>
      </c>
      <c r="BX89" t="s">
        <v>512</v>
      </c>
      <c r="BY89" t="s">
        <v>554</v>
      </c>
      <c r="BZ89" t="s">
        <v>508</v>
      </c>
      <c r="CA89" t="s">
        <v>540</v>
      </c>
    </row>
    <row r="90" spans="1:79" x14ac:dyDescent="0.35">
      <c r="A90">
        <v>221999</v>
      </c>
      <c r="B90" t="s">
        <v>499</v>
      </c>
      <c r="C90" t="s">
        <v>501</v>
      </c>
      <c r="D90" t="s">
        <v>499</v>
      </c>
      <c r="E90" t="s">
        <v>499</v>
      </c>
      <c r="F90" t="s">
        <v>499</v>
      </c>
      <c r="G90" t="s">
        <v>500</v>
      </c>
      <c r="H90" t="s">
        <v>521</v>
      </c>
      <c r="I90" t="s">
        <v>499</v>
      </c>
      <c r="J90" t="s">
        <v>502</v>
      </c>
      <c r="K90" t="s">
        <v>501</v>
      </c>
      <c r="L90" t="s">
        <v>499</v>
      </c>
      <c r="M90" t="s">
        <v>501</v>
      </c>
      <c r="N90">
        <v>45313</v>
      </c>
      <c r="O90">
        <v>20136</v>
      </c>
      <c r="P90">
        <v>25177</v>
      </c>
      <c r="R90">
        <v>0</v>
      </c>
      <c r="S90">
        <v>2844</v>
      </c>
      <c r="T90">
        <v>1360</v>
      </c>
      <c r="U90">
        <v>1484</v>
      </c>
      <c r="W90">
        <v>0</v>
      </c>
      <c r="X90">
        <v>1622</v>
      </c>
      <c r="Y90">
        <v>776</v>
      </c>
      <c r="Z90">
        <v>846</v>
      </c>
      <c r="AB90">
        <v>0</v>
      </c>
      <c r="AC90">
        <v>1619</v>
      </c>
      <c r="AD90">
        <v>775</v>
      </c>
      <c r="AE90">
        <v>844</v>
      </c>
      <c r="AG90">
        <v>0</v>
      </c>
      <c r="AH90">
        <v>3</v>
      </c>
      <c r="AI90">
        <v>1</v>
      </c>
      <c r="AJ90">
        <v>2</v>
      </c>
      <c r="AL90">
        <v>0</v>
      </c>
      <c r="AM90">
        <v>406</v>
      </c>
      <c r="AN90">
        <v>25</v>
      </c>
      <c r="AO90">
        <v>428</v>
      </c>
      <c r="AP90">
        <v>26</v>
      </c>
      <c r="AQ90">
        <v>740</v>
      </c>
      <c r="AR90">
        <v>760</v>
      </c>
      <c r="AS90">
        <v>770</v>
      </c>
      <c r="AT90">
        <v>770</v>
      </c>
      <c r="AU90">
        <v>780</v>
      </c>
      <c r="AV90">
        <v>790</v>
      </c>
      <c r="AW90">
        <v>34</v>
      </c>
      <c r="AX90">
        <v>35</v>
      </c>
      <c r="AY90">
        <v>35</v>
      </c>
      <c r="AZ90">
        <v>35</v>
      </c>
      <c r="BA90">
        <v>35</v>
      </c>
      <c r="BB90">
        <v>36</v>
      </c>
      <c r="BC90">
        <v>32</v>
      </c>
      <c r="BD90">
        <v>34</v>
      </c>
      <c r="BE90">
        <v>35</v>
      </c>
      <c r="BF90">
        <v>6</v>
      </c>
      <c r="BG90">
        <v>7</v>
      </c>
      <c r="BH90">
        <v>6</v>
      </c>
      <c r="BI90" t="s">
        <v>161</v>
      </c>
      <c r="BJ90" t="s">
        <v>429</v>
      </c>
      <c r="BK90" t="s">
        <v>328</v>
      </c>
      <c r="BL90" t="s">
        <v>126</v>
      </c>
      <c r="BM90" t="s">
        <v>329</v>
      </c>
      <c r="BN90">
        <v>37240</v>
      </c>
      <c r="BO90" t="s">
        <v>503</v>
      </c>
      <c r="BP90" t="s">
        <v>504</v>
      </c>
      <c r="BQ90" t="s">
        <v>505</v>
      </c>
      <c r="BR90" t="s">
        <v>506</v>
      </c>
      <c r="BS90" t="s">
        <v>507</v>
      </c>
      <c r="BT90" t="s">
        <v>508</v>
      </c>
      <c r="BU90" t="s">
        <v>518</v>
      </c>
      <c r="BV90" t="s">
        <v>515</v>
      </c>
      <c r="BW90" t="s">
        <v>528</v>
      </c>
      <c r="BX90" t="s">
        <v>512</v>
      </c>
      <c r="BY90" t="s">
        <v>519</v>
      </c>
      <c r="BZ90" t="s">
        <v>508</v>
      </c>
      <c r="CA90" t="s">
        <v>540</v>
      </c>
    </row>
    <row r="91" spans="1:79" x14ac:dyDescent="0.35">
      <c r="A91">
        <v>227757</v>
      </c>
      <c r="B91" t="s">
        <v>501</v>
      </c>
      <c r="C91" t="s">
        <v>501</v>
      </c>
      <c r="D91" t="s">
        <v>499</v>
      </c>
      <c r="E91" t="s">
        <v>501</v>
      </c>
      <c r="F91" t="s">
        <v>499</v>
      </c>
      <c r="G91" t="s">
        <v>501</v>
      </c>
      <c r="H91" t="s">
        <v>521</v>
      </c>
      <c r="I91" t="s">
        <v>499</v>
      </c>
      <c r="J91" t="s">
        <v>502</v>
      </c>
      <c r="K91" t="s">
        <v>501</v>
      </c>
      <c r="L91" t="s">
        <v>499</v>
      </c>
      <c r="M91" t="s">
        <v>501</v>
      </c>
      <c r="N91">
        <v>31059</v>
      </c>
      <c r="O91">
        <v>15982</v>
      </c>
      <c r="P91">
        <v>15077</v>
      </c>
      <c r="R91">
        <v>0</v>
      </c>
      <c r="S91">
        <v>2447</v>
      </c>
      <c r="T91">
        <v>1233</v>
      </c>
      <c r="U91">
        <v>1214</v>
      </c>
      <c r="W91">
        <v>0</v>
      </c>
      <c r="X91">
        <v>1125</v>
      </c>
      <c r="Y91">
        <v>562</v>
      </c>
      <c r="Z91">
        <v>563</v>
      </c>
      <c r="AB91">
        <v>0</v>
      </c>
      <c r="AC91">
        <v>1125</v>
      </c>
      <c r="AD91">
        <v>562</v>
      </c>
      <c r="AE91">
        <v>563</v>
      </c>
      <c r="AG91">
        <v>0</v>
      </c>
      <c r="AM91">
        <v>567</v>
      </c>
      <c r="AN91">
        <v>50</v>
      </c>
      <c r="AO91">
        <v>243</v>
      </c>
      <c r="AP91">
        <v>22</v>
      </c>
      <c r="AQ91">
        <v>730</v>
      </c>
      <c r="AR91">
        <v>760</v>
      </c>
      <c r="AS91">
        <v>770</v>
      </c>
      <c r="AT91">
        <v>770</v>
      </c>
      <c r="AU91">
        <v>790</v>
      </c>
      <c r="AV91">
        <v>800</v>
      </c>
      <c r="AW91">
        <v>34</v>
      </c>
      <c r="AX91">
        <v>35</v>
      </c>
      <c r="AY91">
        <v>36</v>
      </c>
      <c r="AZ91">
        <v>35</v>
      </c>
      <c r="BA91">
        <v>35</v>
      </c>
      <c r="BB91">
        <v>36</v>
      </c>
      <c r="BC91">
        <v>33</v>
      </c>
      <c r="BD91">
        <v>35</v>
      </c>
      <c r="BE91">
        <v>36</v>
      </c>
      <c r="BF91">
        <v>8</v>
      </c>
      <c r="BG91">
        <v>8</v>
      </c>
      <c r="BH91">
        <v>8</v>
      </c>
      <c r="BI91" t="s">
        <v>30</v>
      </c>
      <c r="BJ91" t="s">
        <v>429</v>
      </c>
      <c r="BK91" t="s">
        <v>330</v>
      </c>
      <c r="BL91" t="s">
        <v>331</v>
      </c>
      <c r="BM91" t="s">
        <v>332</v>
      </c>
      <c r="BN91" t="s">
        <v>333</v>
      </c>
      <c r="BO91" t="s">
        <v>503</v>
      </c>
      <c r="BP91" t="s">
        <v>520</v>
      </c>
      <c r="BQ91" t="s">
        <v>505</v>
      </c>
      <c r="BR91" t="s">
        <v>506</v>
      </c>
      <c r="BS91" t="s">
        <v>507</v>
      </c>
      <c r="BT91" t="s">
        <v>508</v>
      </c>
      <c r="BU91" t="s">
        <v>509</v>
      </c>
      <c r="BV91" t="s">
        <v>510</v>
      </c>
      <c r="BW91" t="s">
        <v>528</v>
      </c>
      <c r="BX91" t="s">
        <v>512</v>
      </c>
      <c r="BY91" t="s">
        <v>554</v>
      </c>
      <c r="BZ91" t="s">
        <v>508</v>
      </c>
      <c r="CA91" t="s">
        <v>555</v>
      </c>
    </row>
    <row r="92" spans="1:79" x14ac:dyDescent="0.35">
      <c r="A92">
        <v>228246</v>
      </c>
      <c r="B92" t="s">
        <v>499</v>
      </c>
      <c r="C92" t="s">
        <v>501</v>
      </c>
      <c r="D92" t="s">
        <v>499</v>
      </c>
      <c r="E92" t="s">
        <v>499</v>
      </c>
      <c r="F92" t="s">
        <v>499</v>
      </c>
      <c r="G92" t="s">
        <v>501</v>
      </c>
      <c r="H92" t="s">
        <v>521</v>
      </c>
      <c r="I92" t="s">
        <v>499</v>
      </c>
      <c r="J92" t="s">
        <v>502</v>
      </c>
      <c r="K92" t="s">
        <v>501</v>
      </c>
      <c r="L92" t="s">
        <v>499</v>
      </c>
      <c r="M92" t="s">
        <v>501</v>
      </c>
      <c r="N92">
        <v>15092</v>
      </c>
      <c r="O92">
        <v>7100</v>
      </c>
      <c r="P92">
        <v>7992</v>
      </c>
      <c r="R92">
        <v>0</v>
      </c>
      <c r="S92">
        <v>9240</v>
      </c>
      <c r="T92">
        <v>4162</v>
      </c>
      <c r="U92">
        <v>5078</v>
      </c>
      <c r="W92">
        <v>0</v>
      </c>
      <c r="X92">
        <v>1592</v>
      </c>
      <c r="Y92">
        <v>779</v>
      </c>
      <c r="Z92">
        <v>813</v>
      </c>
      <c r="AB92">
        <v>0</v>
      </c>
      <c r="AC92">
        <v>1592</v>
      </c>
      <c r="AD92">
        <v>779</v>
      </c>
      <c r="AE92">
        <v>813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264</v>
      </c>
      <c r="AN92">
        <v>17</v>
      </c>
      <c r="AO92">
        <v>235</v>
      </c>
      <c r="AP92">
        <v>15</v>
      </c>
      <c r="AQ92">
        <v>660</v>
      </c>
      <c r="AR92">
        <v>700</v>
      </c>
      <c r="AS92">
        <v>730</v>
      </c>
      <c r="AT92">
        <v>660</v>
      </c>
      <c r="AU92">
        <v>710</v>
      </c>
      <c r="AV92">
        <v>750</v>
      </c>
      <c r="AW92">
        <v>30</v>
      </c>
      <c r="AX92">
        <v>32</v>
      </c>
      <c r="AY92">
        <v>34</v>
      </c>
      <c r="AZ92">
        <v>31</v>
      </c>
      <c r="BA92">
        <v>34</v>
      </c>
      <c r="BB92">
        <v>35</v>
      </c>
      <c r="BC92">
        <v>27</v>
      </c>
      <c r="BD92">
        <v>30</v>
      </c>
      <c r="BE92">
        <v>32</v>
      </c>
      <c r="BF92">
        <v>61</v>
      </c>
      <c r="BG92">
        <v>59</v>
      </c>
      <c r="BH92">
        <v>64</v>
      </c>
      <c r="BI92" t="s">
        <v>37</v>
      </c>
      <c r="BJ92" t="s">
        <v>430</v>
      </c>
      <c r="BK92" t="s">
        <v>334</v>
      </c>
      <c r="BL92" t="s">
        <v>113</v>
      </c>
      <c r="BM92" t="s">
        <v>332</v>
      </c>
      <c r="BN92" t="s">
        <v>335</v>
      </c>
      <c r="BO92" t="s">
        <v>503</v>
      </c>
      <c r="BP92" t="s">
        <v>504</v>
      </c>
      <c r="BQ92" t="s">
        <v>505</v>
      </c>
      <c r="BR92" t="s">
        <v>544</v>
      </c>
      <c r="BS92" t="s">
        <v>542</v>
      </c>
      <c r="BT92" t="s">
        <v>543</v>
      </c>
      <c r="BU92" t="s">
        <v>517</v>
      </c>
      <c r="BV92" t="s">
        <v>510</v>
      </c>
      <c r="BW92" t="s">
        <v>528</v>
      </c>
      <c r="BX92" t="s">
        <v>512</v>
      </c>
      <c r="BY92" t="s">
        <v>519</v>
      </c>
      <c r="BZ92" t="s">
        <v>543</v>
      </c>
      <c r="CA92" t="s">
        <v>540</v>
      </c>
    </row>
    <row r="93" spans="1:79" x14ac:dyDescent="0.35">
      <c r="A93">
        <v>228778</v>
      </c>
      <c r="B93" t="s">
        <v>501</v>
      </c>
      <c r="C93" t="s">
        <v>501</v>
      </c>
      <c r="D93" t="s">
        <v>499</v>
      </c>
      <c r="E93" t="s">
        <v>499</v>
      </c>
      <c r="F93" t="s">
        <v>501</v>
      </c>
      <c r="G93" t="s">
        <v>501</v>
      </c>
      <c r="H93" t="s">
        <v>521</v>
      </c>
      <c r="I93" t="s">
        <v>499</v>
      </c>
      <c r="J93" t="s">
        <v>502</v>
      </c>
      <c r="K93" t="s">
        <v>501</v>
      </c>
      <c r="L93" t="s">
        <v>501</v>
      </c>
      <c r="M93" t="s">
        <v>500</v>
      </c>
      <c r="N93">
        <v>66109</v>
      </c>
      <c r="O93">
        <v>32100</v>
      </c>
      <c r="P93">
        <v>33843</v>
      </c>
      <c r="R93">
        <v>166</v>
      </c>
      <c r="S93">
        <v>19253</v>
      </c>
      <c r="T93">
        <v>7869</v>
      </c>
      <c r="U93">
        <v>11331</v>
      </c>
      <c r="W93">
        <v>53</v>
      </c>
      <c r="X93">
        <v>9385</v>
      </c>
      <c r="Y93">
        <v>3823</v>
      </c>
      <c r="Z93">
        <v>5544</v>
      </c>
      <c r="AB93">
        <v>18</v>
      </c>
      <c r="AC93">
        <v>9230</v>
      </c>
      <c r="AD93">
        <v>3758</v>
      </c>
      <c r="AE93">
        <v>5454</v>
      </c>
      <c r="AG93">
        <v>18</v>
      </c>
      <c r="AH93">
        <v>155</v>
      </c>
      <c r="AI93">
        <v>65</v>
      </c>
      <c r="AJ93">
        <v>90</v>
      </c>
      <c r="AL93">
        <v>0</v>
      </c>
      <c r="AM93">
        <v>5912</v>
      </c>
      <c r="AN93">
        <v>63</v>
      </c>
      <c r="AO93">
        <v>1880</v>
      </c>
      <c r="AP93">
        <v>20</v>
      </c>
      <c r="AQ93">
        <v>620</v>
      </c>
      <c r="AR93">
        <v>680</v>
      </c>
      <c r="AS93">
        <v>730</v>
      </c>
      <c r="AT93">
        <v>610</v>
      </c>
      <c r="AU93">
        <v>690</v>
      </c>
      <c r="AV93">
        <v>760</v>
      </c>
      <c r="AW93">
        <v>27</v>
      </c>
      <c r="AX93">
        <v>31</v>
      </c>
      <c r="AY93">
        <v>33</v>
      </c>
      <c r="AZ93">
        <v>26</v>
      </c>
      <c r="BA93">
        <v>32</v>
      </c>
      <c r="BB93">
        <v>35</v>
      </c>
      <c r="BC93">
        <v>25</v>
      </c>
      <c r="BD93">
        <v>29</v>
      </c>
      <c r="BE93">
        <v>33</v>
      </c>
      <c r="BF93">
        <v>29</v>
      </c>
      <c r="BG93">
        <v>25</v>
      </c>
      <c r="BH93">
        <v>33</v>
      </c>
      <c r="BI93" t="s">
        <v>162</v>
      </c>
      <c r="BJ93" t="s">
        <v>429</v>
      </c>
      <c r="BK93" t="s">
        <v>390</v>
      </c>
      <c r="BL93" t="s">
        <v>391</v>
      </c>
      <c r="BM93" t="s">
        <v>332</v>
      </c>
      <c r="BN93">
        <v>78705</v>
      </c>
      <c r="BO93" t="s">
        <v>503</v>
      </c>
      <c r="BP93" t="s">
        <v>504</v>
      </c>
      <c r="BQ93" t="s">
        <v>505</v>
      </c>
      <c r="BR93" t="s">
        <v>506</v>
      </c>
      <c r="BS93" t="s">
        <v>507</v>
      </c>
      <c r="BT93" t="s">
        <v>508</v>
      </c>
      <c r="BU93" t="s">
        <v>517</v>
      </c>
      <c r="BV93" t="s">
        <v>515</v>
      </c>
      <c r="BW93" t="s">
        <v>528</v>
      </c>
      <c r="BX93" t="s">
        <v>516</v>
      </c>
      <c r="BY93" t="s">
        <v>562</v>
      </c>
      <c r="BZ93" t="s">
        <v>508</v>
      </c>
      <c r="CA93" t="s">
        <v>514</v>
      </c>
    </row>
    <row r="94" spans="1:79" x14ac:dyDescent="0.35">
      <c r="A94">
        <v>230959</v>
      </c>
      <c r="B94" t="s">
        <v>501</v>
      </c>
      <c r="C94" t="s">
        <v>501</v>
      </c>
      <c r="D94" t="s">
        <v>499</v>
      </c>
      <c r="E94" t="s">
        <v>501</v>
      </c>
      <c r="F94" t="s">
        <v>499</v>
      </c>
      <c r="G94" t="s">
        <v>501</v>
      </c>
      <c r="H94" t="s">
        <v>521</v>
      </c>
      <c r="I94" t="s">
        <v>499</v>
      </c>
      <c r="J94" t="s">
        <v>502</v>
      </c>
      <c r="K94" t="s">
        <v>500</v>
      </c>
      <c r="L94" t="s">
        <v>499</v>
      </c>
      <c r="M94" t="s">
        <v>501</v>
      </c>
      <c r="N94">
        <v>13297</v>
      </c>
      <c r="O94">
        <v>5574</v>
      </c>
      <c r="P94">
        <v>7722</v>
      </c>
      <c r="Q94">
        <v>0</v>
      </c>
      <c r="R94">
        <v>1</v>
      </c>
      <c r="S94">
        <v>1379</v>
      </c>
      <c r="T94">
        <v>569</v>
      </c>
      <c r="U94">
        <v>809</v>
      </c>
      <c r="W94">
        <v>1</v>
      </c>
      <c r="X94">
        <v>615</v>
      </c>
      <c r="Y94">
        <v>284</v>
      </c>
      <c r="Z94">
        <v>330</v>
      </c>
      <c r="AB94">
        <v>1</v>
      </c>
      <c r="AC94">
        <v>615</v>
      </c>
      <c r="AD94">
        <v>284</v>
      </c>
      <c r="AE94">
        <v>330</v>
      </c>
      <c r="AG94">
        <v>1</v>
      </c>
      <c r="AM94">
        <v>172</v>
      </c>
      <c r="AN94">
        <v>28</v>
      </c>
      <c r="AO94">
        <v>84</v>
      </c>
      <c r="AP94">
        <v>14</v>
      </c>
      <c r="AQ94">
        <v>720</v>
      </c>
      <c r="AR94">
        <v>740</v>
      </c>
      <c r="AS94">
        <v>770</v>
      </c>
      <c r="AT94">
        <v>710</v>
      </c>
      <c r="AU94">
        <v>750</v>
      </c>
      <c r="AV94">
        <v>780</v>
      </c>
      <c r="AW94">
        <v>33</v>
      </c>
      <c r="AX94">
        <v>34</v>
      </c>
      <c r="AY94">
        <v>34</v>
      </c>
      <c r="BF94">
        <v>10</v>
      </c>
      <c r="BG94">
        <v>10</v>
      </c>
      <c r="BH94">
        <v>10</v>
      </c>
      <c r="BI94" t="s">
        <v>163</v>
      </c>
      <c r="BJ94" t="s">
        <v>434</v>
      </c>
      <c r="BK94" t="s">
        <v>336</v>
      </c>
      <c r="BL94" t="s">
        <v>6</v>
      </c>
      <c r="BM94" t="s">
        <v>337</v>
      </c>
      <c r="BN94">
        <v>5753</v>
      </c>
      <c r="BO94" t="s">
        <v>503</v>
      </c>
      <c r="BP94" t="s">
        <v>520</v>
      </c>
      <c r="BQ94" t="s">
        <v>523</v>
      </c>
      <c r="BR94" t="s">
        <v>524</v>
      </c>
      <c r="BS94" t="s">
        <v>525</v>
      </c>
      <c r="BT94" t="s">
        <v>525</v>
      </c>
      <c r="BU94" t="s">
        <v>536</v>
      </c>
      <c r="BV94" t="s">
        <v>560</v>
      </c>
      <c r="BW94" t="s">
        <v>528</v>
      </c>
      <c r="BX94" t="s">
        <v>538</v>
      </c>
      <c r="BY94" t="s">
        <v>530</v>
      </c>
      <c r="BZ94" t="s">
        <v>525</v>
      </c>
      <c r="CA94" t="s">
        <v>531</v>
      </c>
    </row>
    <row r="95" spans="1:79" x14ac:dyDescent="0.35">
      <c r="A95">
        <v>231174</v>
      </c>
      <c r="B95" t="s">
        <v>499</v>
      </c>
      <c r="C95" t="s">
        <v>501</v>
      </c>
      <c r="D95" t="s">
        <v>499</v>
      </c>
      <c r="E95" t="s">
        <v>499</v>
      </c>
      <c r="F95" t="s">
        <v>499</v>
      </c>
      <c r="G95" t="s">
        <v>500</v>
      </c>
      <c r="H95" t="s">
        <v>521</v>
      </c>
      <c r="I95" t="s">
        <v>499</v>
      </c>
      <c r="J95" t="s">
        <v>502</v>
      </c>
      <c r="K95" t="s">
        <v>501</v>
      </c>
      <c r="L95" t="s">
        <v>499</v>
      </c>
      <c r="M95" t="s">
        <v>500</v>
      </c>
      <c r="N95">
        <v>28236</v>
      </c>
      <c r="O95">
        <v>9582</v>
      </c>
      <c r="P95">
        <v>18654</v>
      </c>
      <c r="R95">
        <v>0</v>
      </c>
      <c r="S95">
        <v>16947</v>
      </c>
      <c r="T95">
        <v>5577</v>
      </c>
      <c r="U95">
        <v>11370</v>
      </c>
      <c r="W95">
        <v>0</v>
      </c>
      <c r="X95">
        <v>2896</v>
      </c>
      <c r="Y95">
        <v>1061</v>
      </c>
      <c r="Z95">
        <v>1835</v>
      </c>
      <c r="AB95">
        <v>0</v>
      </c>
      <c r="AC95">
        <v>2881</v>
      </c>
      <c r="AD95">
        <v>1056</v>
      </c>
      <c r="AE95">
        <v>1825</v>
      </c>
      <c r="AG95">
        <v>0</v>
      </c>
      <c r="AH95">
        <v>15</v>
      </c>
      <c r="AI95">
        <v>5</v>
      </c>
      <c r="AJ95">
        <v>10</v>
      </c>
      <c r="AL95">
        <v>0</v>
      </c>
      <c r="AM95">
        <v>1003</v>
      </c>
      <c r="AN95">
        <v>35</v>
      </c>
      <c r="AO95">
        <v>319</v>
      </c>
      <c r="AP95">
        <v>11</v>
      </c>
      <c r="AQ95">
        <v>640</v>
      </c>
      <c r="AR95">
        <v>680</v>
      </c>
      <c r="AS95">
        <v>720</v>
      </c>
      <c r="AT95">
        <v>610</v>
      </c>
      <c r="AU95">
        <v>660</v>
      </c>
      <c r="AV95">
        <v>700</v>
      </c>
      <c r="AW95">
        <v>29</v>
      </c>
      <c r="AX95">
        <v>31</v>
      </c>
      <c r="AY95">
        <v>32</v>
      </c>
      <c r="AZ95">
        <v>29</v>
      </c>
      <c r="BA95">
        <v>33</v>
      </c>
      <c r="BB95">
        <v>35</v>
      </c>
      <c r="BC95">
        <v>26</v>
      </c>
      <c r="BD95">
        <v>28</v>
      </c>
      <c r="BE95">
        <v>31</v>
      </c>
      <c r="BF95">
        <v>60</v>
      </c>
      <c r="BG95">
        <v>58</v>
      </c>
      <c r="BH95">
        <v>61</v>
      </c>
      <c r="BI95" t="s">
        <v>17</v>
      </c>
      <c r="BJ95" t="s">
        <v>431</v>
      </c>
      <c r="BK95" t="s">
        <v>338</v>
      </c>
      <c r="BL95" t="s">
        <v>123</v>
      </c>
      <c r="BM95" t="s">
        <v>337</v>
      </c>
      <c r="BN95" t="s">
        <v>339</v>
      </c>
      <c r="BO95" t="s">
        <v>503</v>
      </c>
      <c r="BP95" t="s">
        <v>504</v>
      </c>
      <c r="BQ95" t="s">
        <v>505</v>
      </c>
      <c r="BR95" t="s">
        <v>544</v>
      </c>
      <c r="BS95" t="s">
        <v>542</v>
      </c>
      <c r="BT95" t="s">
        <v>543</v>
      </c>
      <c r="BU95" t="s">
        <v>569</v>
      </c>
      <c r="BV95" t="s">
        <v>539</v>
      </c>
      <c r="BW95" t="s">
        <v>528</v>
      </c>
      <c r="BX95" t="s">
        <v>516</v>
      </c>
      <c r="BY95" t="s">
        <v>519</v>
      </c>
      <c r="BZ95" t="s">
        <v>543</v>
      </c>
      <c r="CA95" t="s">
        <v>540</v>
      </c>
    </row>
    <row r="96" spans="1:79" x14ac:dyDescent="0.35">
      <c r="A96">
        <v>231624</v>
      </c>
      <c r="B96" t="s">
        <v>499</v>
      </c>
      <c r="C96" t="s">
        <v>501</v>
      </c>
      <c r="D96" t="s">
        <v>499</v>
      </c>
      <c r="E96" t="s">
        <v>499</v>
      </c>
      <c r="F96" t="s">
        <v>499</v>
      </c>
      <c r="G96" t="s">
        <v>500</v>
      </c>
      <c r="H96" t="s">
        <v>521</v>
      </c>
      <c r="I96" t="s">
        <v>521</v>
      </c>
      <c r="J96" t="s">
        <v>502</v>
      </c>
      <c r="K96" t="s">
        <v>501</v>
      </c>
      <c r="L96" t="s">
        <v>499</v>
      </c>
      <c r="M96" t="s">
        <v>501</v>
      </c>
      <c r="N96">
        <v>17548</v>
      </c>
      <c r="O96">
        <v>6675</v>
      </c>
      <c r="P96">
        <v>10873</v>
      </c>
      <c r="R96">
        <v>0</v>
      </c>
      <c r="S96">
        <v>5741</v>
      </c>
      <c r="T96">
        <v>2472</v>
      </c>
      <c r="U96">
        <v>3269</v>
      </c>
      <c r="W96">
        <v>0</v>
      </c>
      <c r="X96">
        <v>1619</v>
      </c>
      <c r="Y96">
        <v>662</v>
      </c>
      <c r="Z96">
        <v>957</v>
      </c>
      <c r="AB96">
        <v>0</v>
      </c>
      <c r="AC96">
        <v>1619</v>
      </c>
      <c r="AD96">
        <v>662</v>
      </c>
      <c r="AE96">
        <v>957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728</v>
      </c>
      <c r="AN96">
        <v>45</v>
      </c>
      <c r="AO96">
        <v>272</v>
      </c>
      <c r="AP96">
        <v>17</v>
      </c>
      <c r="AQ96">
        <v>695</v>
      </c>
      <c r="AR96">
        <v>730</v>
      </c>
      <c r="AS96">
        <v>750</v>
      </c>
      <c r="AT96">
        <v>670</v>
      </c>
      <c r="AU96">
        <v>720</v>
      </c>
      <c r="AV96">
        <v>760</v>
      </c>
      <c r="AW96">
        <v>32</v>
      </c>
      <c r="AX96">
        <v>33</v>
      </c>
      <c r="AY96">
        <v>34</v>
      </c>
      <c r="AZ96">
        <v>33</v>
      </c>
      <c r="BA96">
        <v>35</v>
      </c>
      <c r="BB96">
        <v>35</v>
      </c>
      <c r="BC96">
        <v>28</v>
      </c>
      <c r="BD96">
        <v>31</v>
      </c>
      <c r="BE96">
        <v>33</v>
      </c>
      <c r="BF96">
        <v>33</v>
      </c>
      <c r="BG96">
        <v>37</v>
      </c>
      <c r="BH96">
        <v>30</v>
      </c>
      <c r="BI96" t="s">
        <v>164</v>
      </c>
      <c r="BJ96" t="s">
        <v>436</v>
      </c>
      <c r="BK96" t="s">
        <v>340</v>
      </c>
      <c r="BL96" t="s">
        <v>90</v>
      </c>
      <c r="BM96" t="s">
        <v>341</v>
      </c>
      <c r="BN96" t="s">
        <v>342</v>
      </c>
      <c r="BO96" t="s">
        <v>503</v>
      </c>
      <c r="BP96" t="s">
        <v>504</v>
      </c>
      <c r="BQ96" t="s">
        <v>556</v>
      </c>
      <c r="BR96" t="s">
        <v>544</v>
      </c>
      <c r="BS96" t="s">
        <v>542</v>
      </c>
      <c r="BT96" t="s">
        <v>543</v>
      </c>
      <c r="BU96" t="s">
        <v>536</v>
      </c>
      <c r="BV96" t="s">
        <v>510</v>
      </c>
      <c r="BW96" t="s">
        <v>528</v>
      </c>
      <c r="BX96" t="s">
        <v>516</v>
      </c>
      <c r="BY96" t="s">
        <v>554</v>
      </c>
      <c r="BZ96" t="s">
        <v>543</v>
      </c>
      <c r="CA96" t="s">
        <v>555</v>
      </c>
    </row>
    <row r="97" spans="1:79" x14ac:dyDescent="0.35">
      <c r="A97">
        <v>233374</v>
      </c>
      <c r="B97" t="s">
        <v>499</v>
      </c>
      <c r="C97" t="s">
        <v>501</v>
      </c>
      <c r="D97" t="s">
        <v>499</v>
      </c>
      <c r="E97" t="s">
        <v>499</v>
      </c>
      <c r="F97" t="s">
        <v>499</v>
      </c>
      <c r="G97" t="s">
        <v>500</v>
      </c>
      <c r="H97" t="s">
        <v>521</v>
      </c>
      <c r="I97" t="s">
        <v>499</v>
      </c>
      <c r="J97" t="s">
        <v>502</v>
      </c>
      <c r="K97" t="s">
        <v>501</v>
      </c>
      <c r="L97" t="s">
        <v>499</v>
      </c>
      <c r="M97" t="s">
        <v>501</v>
      </c>
      <c r="N97">
        <v>15121</v>
      </c>
      <c r="O97">
        <v>6478</v>
      </c>
      <c r="P97">
        <v>8643</v>
      </c>
      <c r="Q97">
        <v>0</v>
      </c>
      <c r="R97">
        <v>0</v>
      </c>
      <c r="S97">
        <v>3525</v>
      </c>
      <c r="T97">
        <v>1574</v>
      </c>
      <c r="U97">
        <v>1951</v>
      </c>
      <c r="W97">
        <v>0</v>
      </c>
      <c r="X97">
        <v>833</v>
      </c>
      <c r="Y97">
        <v>387</v>
      </c>
      <c r="Z97">
        <v>446</v>
      </c>
      <c r="AB97">
        <v>0</v>
      </c>
      <c r="AC97">
        <v>832</v>
      </c>
      <c r="AD97">
        <v>386</v>
      </c>
      <c r="AE97">
        <v>446</v>
      </c>
      <c r="AG97">
        <v>0</v>
      </c>
      <c r="AH97">
        <v>1</v>
      </c>
      <c r="AI97">
        <v>1</v>
      </c>
      <c r="AJ97">
        <v>0</v>
      </c>
      <c r="AL97">
        <v>0</v>
      </c>
      <c r="AM97">
        <v>165</v>
      </c>
      <c r="AN97">
        <v>20</v>
      </c>
      <c r="AO97">
        <v>131</v>
      </c>
      <c r="AP97">
        <v>16</v>
      </c>
      <c r="AQ97">
        <v>690</v>
      </c>
      <c r="AR97">
        <v>720</v>
      </c>
      <c r="AS97">
        <v>750</v>
      </c>
      <c r="AT97">
        <v>720</v>
      </c>
      <c r="AU97">
        <v>750</v>
      </c>
      <c r="AV97">
        <v>780</v>
      </c>
      <c r="AW97">
        <v>32</v>
      </c>
      <c r="AX97">
        <v>33</v>
      </c>
      <c r="AY97">
        <v>34</v>
      </c>
      <c r="BF97">
        <v>23</v>
      </c>
      <c r="BG97">
        <v>24</v>
      </c>
      <c r="BH97">
        <v>23</v>
      </c>
      <c r="BI97" t="s">
        <v>56</v>
      </c>
      <c r="BJ97" t="s">
        <v>428</v>
      </c>
      <c r="BK97" t="s">
        <v>343</v>
      </c>
      <c r="BL97" t="s">
        <v>56</v>
      </c>
      <c r="BM97" t="s">
        <v>341</v>
      </c>
      <c r="BN97">
        <v>23173</v>
      </c>
      <c r="BO97" t="s">
        <v>503</v>
      </c>
      <c r="BP97" t="s">
        <v>570</v>
      </c>
      <c r="BQ97" t="s">
        <v>523</v>
      </c>
      <c r="BR97" t="s">
        <v>524</v>
      </c>
      <c r="BS97" t="s">
        <v>525</v>
      </c>
      <c r="BT97" t="s">
        <v>525</v>
      </c>
      <c r="BU97" t="s">
        <v>569</v>
      </c>
      <c r="BV97" t="s">
        <v>537</v>
      </c>
      <c r="BW97" t="s">
        <v>528</v>
      </c>
      <c r="BX97" t="s">
        <v>516</v>
      </c>
      <c r="BY97" t="s">
        <v>554</v>
      </c>
      <c r="BZ97" t="s">
        <v>525</v>
      </c>
      <c r="CA97" t="s">
        <v>531</v>
      </c>
    </row>
    <row r="98" spans="1:79" x14ac:dyDescent="0.35">
      <c r="A98">
        <v>233921</v>
      </c>
      <c r="B98" t="s">
        <v>499</v>
      </c>
      <c r="C98" t="s">
        <v>500</v>
      </c>
      <c r="D98" t="s">
        <v>499</v>
      </c>
      <c r="E98" t="s">
        <v>501</v>
      </c>
      <c r="F98" t="s">
        <v>500</v>
      </c>
      <c r="G98" t="s">
        <v>500</v>
      </c>
      <c r="H98" t="s">
        <v>521</v>
      </c>
      <c r="I98" t="s">
        <v>499</v>
      </c>
      <c r="J98" t="s">
        <v>502</v>
      </c>
      <c r="K98" t="s">
        <v>500</v>
      </c>
      <c r="L98" t="s">
        <v>499</v>
      </c>
      <c r="M98" t="s">
        <v>500</v>
      </c>
      <c r="N98">
        <v>47208</v>
      </c>
      <c r="O98">
        <v>26966</v>
      </c>
      <c r="P98">
        <v>20135</v>
      </c>
      <c r="Q98">
        <v>107</v>
      </c>
      <c r="R98">
        <v>0</v>
      </c>
      <c r="S98">
        <v>26923</v>
      </c>
      <c r="T98">
        <v>14527</v>
      </c>
      <c r="U98">
        <v>12337</v>
      </c>
      <c r="V98">
        <v>59</v>
      </c>
      <c r="W98">
        <v>0</v>
      </c>
      <c r="X98">
        <v>7196</v>
      </c>
      <c r="Y98">
        <v>3932</v>
      </c>
      <c r="Z98">
        <v>3247</v>
      </c>
      <c r="AA98">
        <v>17</v>
      </c>
      <c r="AB98">
        <v>0</v>
      </c>
      <c r="AC98">
        <v>7180</v>
      </c>
      <c r="AD98">
        <v>3923</v>
      </c>
      <c r="AE98">
        <v>3240</v>
      </c>
      <c r="AF98">
        <v>17</v>
      </c>
      <c r="AG98">
        <v>0</v>
      </c>
      <c r="AH98">
        <v>16</v>
      </c>
      <c r="AI98">
        <v>9</v>
      </c>
      <c r="AJ98">
        <v>7</v>
      </c>
      <c r="AK98">
        <v>0</v>
      </c>
      <c r="AL98">
        <v>0</v>
      </c>
      <c r="AM98">
        <v>3103</v>
      </c>
      <c r="AN98">
        <v>43</v>
      </c>
      <c r="AO98">
        <v>484</v>
      </c>
      <c r="AP98">
        <v>7</v>
      </c>
      <c r="AQ98">
        <v>620</v>
      </c>
      <c r="AR98">
        <v>660</v>
      </c>
      <c r="AS98">
        <v>700</v>
      </c>
      <c r="AT98">
        <v>620</v>
      </c>
      <c r="AU98">
        <v>670</v>
      </c>
      <c r="AV98">
        <v>720</v>
      </c>
      <c r="AW98">
        <v>27</v>
      </c>
      <c r="AX98">
        <v>30</v>
      </c>
      <c r="AY98">
        <v>32</v>
      </c>
      <c r="AZ98">
        <v>25</v>
      </c>
      <c r="BA98">
        <v>29</v>
      </c>
      <c r="BB98">
        <v>33</v>
      </c>
      <c r="BC98">
        <v>25</v>
      </c>
      <c r="BD98">
        <v>28</v>
      </c>
      <c r="BE98">
        <v>31</v>
      </c>
      <c r="BF98">
        <v>57</v>
      </c>
      <c r="BG98">
        <v>54</v>
      </c>
      <c r="BH98">
        <v>61</v>
      </c>
      <c r="BI98" t="s">
        <v>165</v>
      </c>
      <c r="BJ98" t="s">
        <v>431</v>
      </c>
      <c r="BK98" t="s">
        <v>367</v>
      </c>
      <c r="BL98" t="s">
        <v>368</v>
      </c>
      <c r="BM98" t="s">
        <v>341</v>
      </c>
      <c r="BN98" t="s">
        <v>369</v>
      </c>
      <c r="BO98" t="s">
        <v>503</v>
      </c>
      <c r="BP98" t="s">
        <v>504</v>
      </c>
      <c r="BQ98" t="s">
        <v>505</v>
      </c>
      <c r="BR98" t="s">
        <v>506</v>
      </c>
      <c r="BS98" t="s">
        <v>507</v>
      </c>
      <c r="BT98" t="s">
        <v>508</v>
      </c>
      <c r="BU98" t="s">
        <v>559</v>
      </c>
      <c r="BV98" t="s">
        <v>515</v>
      </c>
      <c r="BW98" t="s">
        <v>528</v>
      </c>
      <c r="BX98" t="s">
        <v>516</v>
      </c>
      <c r="BY98" t="s">
        <v>513</v>
      </c>
      <c r="BZ98" t="s">
        <v>508</v>
      </c>
      <c r="CA98" t="s">
        <v>514</v>
      </c>
    </row>
    <row r="99" spans="1:79" x14ac:dyDescent="0.35">
      <c r="A99">
        <v>234076</v>
      </c>
      <c r="B99" t="s">
        <v>501</v>
      </c>
      <c r="C99" t="s">
        <v>501</v>
      </c>
      <c r="D99" t="s">
        <v>499</v>
      </c>
      <c r="E99" t="s">
        <v>501</v>
      </c>
      <c r="F99" t="s">
        <v>499</v>
      </c>
      <c r="G99" t="s">
        <v>500</v>
      </c>
      <c r="H99" t="s">
        <v>521</v>
      </c>
      <c r="I99" t="s">
        <v>521</v>
      </c>
      <c r="J99" t="s">
        <v>502</v>
      </c>
      <c r="K99" t="s">
        <v>501</v>
      </c>
      <c r="L99" t="s">
        <v>499</v>
      </c>
      <c r="M99" t="s">
        <v>500</v>
      </c>
      <c r="N99">
        <v>56528</v>
      </c>
      <c r="O99">
        <v>25709</v>
      </c>
      <c r="P99">
        <v>30819</v>
      </c>
      <c r="R99">
        <v>0</v>
      </c>
      <c r="S99">
        <v>9533</v>
      </c>
      <c r="T99">
        <v>4089</v>
      </c>
      <c r="U99">
        <v>5444</v>
      </c>
      <c r="W99">
        <v>0</v>
      </c>
      <c r="X99">
        <v>3966</v>
      </c>
      <c r="Y99">
        <v>1690</v>
      </c>
      <c r="Z99">
        <v>2276</v>
      </c>
      <c r="AB99">
        <v>0</v>
      </c>
      <c r="AC99">
        <v>3965</v>
      </c>
      <c r="AD99">
        <v>1689</v>
      </c>
      <c r="AE99">
        <v>2276</v>
      </c>
      <c r="AG99">
        <v>0</v>
      </c>
      <c r="AH99">
        <v>1</v>
      </c>
      <c r="AI99">
        <v>1</v>
      </c>
      <c r="AJ99">
        <v>0</v>
      </c>
      <c r="AL99">
        <v>0</v>
      </c>
      <c r="AM99">
        <v>1973</v>
      </c>
      <c r="AN99">
        <v>50</v>
      </c>
      <c r="AO99">
        <v>627</v>
      </c>
      <c r="AP99">
        <v>16</v>
      </c>
      <c r="AQ99">
        <v>700</v>
      </c>
      <c r="AR99">
        <v>730</v>
      </c>
      <c r="AS99">
        <v>750</v>
      </c>
      <c r="AT99">
        <v>710</v>
      </c>
      <c r="AU99">
        <v>760</v>
      </c>
      <c r="AV99">
        <v>780</v>
      </c>
      <c r="AW99">
        <v>32</v>
      </c>
      <c r="AX99">
        <v>33</v>
      </c>
      <c r="AY99">
        <v>34</v>
      </c>
      <c r="AZ99">
        <v>33</v>
      </c>
      <c r="BA99">
        <v>35</v>
      </c>
      <c r="BB99">
        <v>35</v>
      </c>
      <c r="BC99">
        <v>29</v>
      </c>
      <c r="BD99">
        <v>32</v>
      </c>
      <c r="BE99">
        <v>35</v>
      </c>
      <c r="BF99">
        <v>17</v>
      </c>
      <c r="BG99">
        <v>16</v>
      </c>
      <c r="BH99">
        <v>18</v>
      </c>
      <c r="BI99" t="s">
        <v>166</v>
      </c>
      <c r="BJ99" t="s">
        <v>435</v>
      </c>
      <c r="BK99" t="s">
        <v>344</v>
      </c>
      <c r="BL99" t="s">
        <v>124</v>
      </c>
      <c r="BM99" t="s">
        <v>341</v>
      </c>
      <c r="BN99" t="s">
        <v>345</v>
      </c>
      <c r="BO99" t="s">
        <v>503</v>
      </c>
      <c r="BP99" t="s">
        <v>504</v>
      </c>
      <c r="BQ99" t="s">
        <v>505</v>
      </c>
      <c r="BR99" t="s">
        <v>506</v>
      </c>
      <c r="BS99" t="s">
        <v>507</v>
      </c>
      <c r="BT99" t="s">
        <v>508</v>
      </c>
      <c r="BU99" t="s">
        <v>509</v>
      </c>
      <c r="BV99" t="s">
        <v>515</v>
      </c>
      <c r="BW99" t="s">
        <v>528</v>
      </c>
      <c r="BX99" t="s">
        <v>512</v>
      </c>
      <c r="BY99" t="s">
        <v>513</v>
      </c>
      <c r="BZ99" t="s">
        <v>508</v>
      </c>
      <c r="CA99" t="s">
        <v>514</v>
      </c>
    </row>
    <row r="100" spans="1:79" x14ac:dyDescent="0.35">
      <c r="A100">
        <v>240444</v>
      </c>
      <c r="B100" t="s">
        <v>499</v>
      </c>
      <c r="C100" t="s">
        <v>501</v>
      </c>
      <c r="D100" t="s">
        <v>499</v>
      </c>
      <c r="E100" t="s">
        <v>499</v>
      </c>
      <c r="F100" t="s">
        <v>499</v>
      </c>
      <c r="G100" t="s">
        <v>500</v>
      </c>
      <c r="H100" t="s">
        <v>521</v>
      </c>
      <c r="I100" t="s">
        <v>499</v>
      </c>
      <c r="J100" t="s">
        <v>502</v>
      </c>
      <c r="K100" t="s">
        <v>501</v>
      </c>
      <c r="L100" t="s">
        <v>499</v>
      </c>
      <c r="M100" t="s">
        <v>500</v>
      </c>
      <c r="N100">
        <v>63505</v>
      </c>
      <c r="O100">
        <v>31492</v>
      </c>
      <c r="P100">
        <v>32010</v>
      </c>
      <c r="S100">
        <v>27529</v>
      </c>
      <c r="T100">
        <v>12837</v>
      </c>
      <c r="U100">
        <v>14690</v>
      </c>
      <c r="X100">
        <v>7964</v>
      </c>
      <c r="Y100">
        <v>3680</v>
      </c>
      <c r="Z100">
        <v>4284</v>
      </c>
      <c r="AC100">
        <v>7937</v>
      </c>
      <c r="AD100">
        <v>3672</v>
      </c>
      <c r="AE100">
        <v>4265</v>
      </c>
      <c r="AH100">
        <v>27</v>
      </c>
      <c r="AI100">
        <v>8</v>
      </c>
      <c r="AJ100">
        <v>19</v>
      </c>
      <c r="AM100">
        <v>1089</v>
      </c>
      <c r="AN100">
        <v>14</v>
      </c>
      <c r="AO100">
        <v>2385</v>
      </c>
      <c r="AP100">
        <v>30</v>
      </c>
      <c r="AQ100">
        <v>660</v>
      </c>
      <c r="AR100">
        <v>700</v>
      </c>
      <c r="AS100">
        <v>730</v>
      </c>
      <c r="AT100">
        <v>700</v>
      </c>
      <c r="AU100">
        <v>750</v>
      </c>
      <c r="AV100">
        <v>780</v>
      </c>
      <c r="AW100">
        <v>28</v>
      </c>
      <c r="AX100">
        <v>30</v>
      </c>
      <c r="AY100">
        <v>32</v>
      </c>
      <c r="AZ100">
        <v>27</v>
      </c>
      <c r="BA100">
        <v>31</v>
      </c>
      <c r="BB100">
        <v>34</v>
      </c>
      <c r="BC100">
        <v>26</v>
      </c>
      <c r="BD100">
        <v>29</v>
      </c>
      <c r="BE100">
        <v>32</v>
      </c>
      <c r="BF100">
        <v>43</v>
      </c>
      <c r="BG100">
        <v>41</v>
      </c>
      <c r="BH100">
        <v>46</v>
      </c>
      <c r="BI100" t="s">
        <v>167</v>
      </c>
      <c r="BJ100" t="s">
        <v>429</v>
      </c>
      <c r="BK100" t="s">
        <v>346</v>
      </c>
      <c r="BL100" t="s">
        <v>125</v>
      </c>
      <c r="BM100" t="s">
        <v>347</v>
      </c>
      <c r="BN100" t="s">
        <v>348</v>
      </c>
      <c r="BO100" t="s">
        <v>503</v>
      </c>
      <c r="BP100" t="s">
        <v>504</v>
      </c>
      <c r="BQ100" t="s">
        <v>505</v>
      </c>
      <c r="BR100" t="s">
        <v>506</v>
      </c>
      <c r="BS100" t="s">
        <v>507</v>
      </c>
      <c r="BT100" t="s">
        <v>508</v>
      </c>
      <c r="BU100" t="s">
        <v>517</v>
      </c>
      <c r="BV100" t="s">
        <v>515</v>
      </c>
      <c r="BW100" t="s">
        <v>528</v>
      </c>
      <c r="BX100" t="s">
        <v>512</v>
      </c>
      <c r="BY100" t="s">
        <v>513</v>
      </c>
      <c r="BZ100" t="s">
        <v>508</v>
      </c>
      <c r="CA100" t="s">
        <v>514</v>
      </c>
    </row>
    <row r="101" spans="1:79" x14ac:dyDescent="0.35">
      <c r="A101">
        <v>243744</v>
      </c>
      <c r="B101" t="s">
        <v>499</v>
      </c>
      <c r="C101" t="s">
        <v>501</v>
      </c>
      <c r="D101" t="s">
        <v>499</v>
      </c>
      <c r="E101" t="s">
        <v>501</v>
      </c>
      <c r="F101" t="s">
        <v>499</v>
      </c>
      <c r="G101" t="s">
        <v>501</v>
      </c>
      <c r="H101" t="s">
        <v>521</v>
      </c>
      <c r="I101" t="s">
        <v>521</v>
      </c>
      <c r="J101" t="s">
        <v>502</v>
      </c>
      <c r="K101" t="s">
        <v>501</v>
      </c>
      <c r="L101" t="s">
        <v>499</v>
      </c>
      <c r="M101" t="s">
        <v>501</v>
      </c>
      <c r="N101">
        <v>53733</v>
      </c>
      <c r="O101">
        <v>27133</v>
      </c>
      <c r="P101">
        <v>26600</v>
      </c>
      <c r="R101">
        <v>0</v>
      </c>
      <c r="S101">
        <v>2099</v>
      </c>
      <c r="T101">
        <v>1044</v>
      </c>
      <c r="U101">
        <v>1055</v>
      </c>
      <c r="W101">
        <v>0</v>
      </c>
      <c r="X101">
        <v>1699</v>
      </c>
      <c r="Y101">
        <v>846</v>
      </c>
      <c r="Z101">
        <v>853</v>
      </c>
      <c r="AB101">
        <v>0</v>
      </c>
      <c r="AC101">
        <v>1699</v>
      </c>
      <c r="AD101">
        <v>846</v>
      </c>
      <c r="AE101">
        <v>853</v>
      </c>
      <c r="AG101">
        <v>0</v>
      </c>
      <c r="AM101">
        <v>802</v>
      </c>
      <c r="AN101">
        <v>47</v>
      </c>
      <c r="AO101">
        <v>368</v>
      </c>
      <c r="AP101">
        <v>22</v>
      </c>
      <c r="AQ101">
        <v>740</v>
      </c>
      <c r="AR101">
        <v>760</v>
      </c>
      <c r="AS101">
        <v>780</v>
      </c>
      <c r="AT101">
        <v>770</v>
      </c>
      <c r="AU101">
        <v>790</v>
      </c>
      <c r="AV101">
        <v>800</v>
      </c>
      <c r="AW101">
        <v>34</v>
      </c>
      <c r="AX101">
        <v>35</v>
      </c>
      <c r="AY101">
        <v>35</v>
      </c>
      <c r="AZ101">
        <v>35</v>
      </c>
      <c r="BA101">
        <v>35</v>
      </c>
      <c r="BB101">
        <v>36</v>
      </c>
      <c r="BC101">
        <v>32</v>
      </c>
      <c r="BD101">
        <v>35</v>
      </c>
      <c r="BE101">
        <v>35</v>
      </c>
      <c r="BF101">
        <v>4</v>
      </c>
      <c r="BG101">
        <v>4</v>
      </c>
      <c r="BH101">
        <v>4</v>
      </c>
      <c r="BI101" t="s">
        <v>39</v>
      </c>
      <c r="BJ101" t="s">
        <v>430</v>
      </c>
      <c r="BK101" t="s">
        <v>259</v>
      </c>
      <c r="BL101" t="s">
        <v>10</v>
      </c>
      <c r="BM101" t="s">
        <v>206</v>
      </c>
      <c r="BN101">
        <v>94305</v>
      </c>
      <c r="BO101" t="s">
        <v>503</v>
      </c>
      <c r="BP101" t="s">
        <v>504</v>
      </c>
      <c r="BQ101" t="s">
        <v>505</v>
      </c>
      <c r="BR101" t="s">
        <v>506</v>
      </c>
      <c r="BS101" t="s">
        <v>507</v>
      </c>
      <c r="BT101" t="s">
        <v>508</v>
      </c>
      <c r="BU101" t="s">
        <v>509</v>
      </c>
      <c r="BV101" t="s">
        <v>515</v>
      </c>
      <c r="BW101" t="s">
        <v>528</v>
      </c>
      <c r="BX101" t="s">
        <v>535</v>
      </c>
      <c r="BY101" t="s">
        <v>519</v>
      </c>
      <c r="BZ101" t="s">
        <v>508</v>
      </c>
      <c r="CA101" t="s">
        <v>540</v>
      </c>
    </row>
  </sheetData>
  <autoFilter ref="A1:CA101" xr:uid="{C11EDC17-75D5-4108-BA24-E0F44BB3E345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0E3C7-37B5-44D3-9E97-ECEC8E83EEDA}">
  <sheetPr codeName="Sheet13"/>
  <dimension ref="A1:L33"/>
  <sheetViews>
    <sheetView zoomScale="85" zoomScaleNormal="85" workbookViewId="0">
      <selection activeCell="K46" sqref="K46"/>
    </sheetView>
  </sheetViews>
  <sheetFormatPr defaultColWidth="8.90625" defaultRowHeight="14.5" x14ac:dyDescent="0.35"/>
  <cols>
    <col min="2" max="2" width="29.36328125" bestFit="1" customWidth="1"/>
    <col min="3" max="6" width="11.26953125" customWidth="1"/>
  </cols>
  <sheetData>
    <row r="1" spans="1:12" x14ac:dyDescent="0.35">
      <c r="A1" s="14" t="s">
        <v>466</v>
      </c>
      <c r="B1" s="14" t="s">
        <v>132</v>
      </c>
      <c r="C1" s="88" t="s">
        <v>465</v>
      </c>
      <c r="D1" s="88" t="s">
        <v>462</v>
      </c>
      <c r="E1" s="88" t="s">
        <v>463</v>
      </c>
      <c r="F1" s="88" t="s">
        <v>464</v>
      </c>
      <c r="G1" s="88" t="s">
        <v>198</v>
      </c>
      <c r="H1" s="88" t="s">
        <v>472</v>
      </c>
    </row>
    <row r="2" spans="1:12" x14ac:dyDescent="0.35">
      <c r="A2" t="s">
        <v>468</v>
      </c>
      <c r="B2" t="s">
        <v>12</v>
      </c>
      <c r="C2" s="89">
        <v>45663</v>
      </c>
      <c r="D2" s="89">
        <v>45597</v>
      </c>
      <c r="E2" s="89">
        <v>45663</v>
      </c>
      <c r="F2" s="89">
        <v>45597</v>
      </c>
      <c r="G2" s="90">
        <v>0.05</v>
      </c>
      <c r="H2" t="str">
        <f>IF(ISERROR(VLOOKUP($B2,eadm_rates!$B$2:$G$47,6,FALSE)),"n/a",IF(VLOOKUP($B2,eadm_rates!$B$2:$G$47,6,FALSE)="n/a","n/a",VLOOKUP($B2,eadm_rates!$B$2:$G$47,6,FALSE)/100))</f>
        <v>n/a</v>
      </c>
    </row>
    <row r="3" spans="1:12" x14ac:dyDescent="0.35">
      <c r="A3" t="s">
        <v>468</v>
      </c>
      <c r="B3" t="s">
        <v>34</v>
      </c>
      <c r="C3" s="89">
        <v>45660</v>
      </c>
      <c r="D3" s="89">
        <v>45597</v>
      </c>
      <c r="E3" s="89" t="s">
        <v>469</v>
      </c>
      <c r="F3" s="89" t="s">
        <v>469</v>
      </c>
      <c r="G3" s="90">
        <v>0.05</v>
      </c>
      <c r="H3">
        <f>IF(ISERROR(VLOOKUP($B3,eadm_rates!$B$2:$G$47,6,FALSE)),"n/a",IF(VLOOKUP($B3,eadm_rates!$B$2:$G$47,6,FALSE)="n/a","n/a",VLOOKUP($B3,eadm_rates!$B$2:$G$47,6,FALSE)/100))</f>
        <v>0.14000000000000001</v>
      </c>
    </row>
    <row r="4" spans="1:12" x14ac:dyDescent="0.35">
      <c r="A4" t="s">
        <v>468</v>
      </c>
      <c r="B4" t="s">
        <v>49</v>
      </c>
      <c r="C4" s="89">
        <v>45659</v>
      </c>
      <c r="D4" s="89">
        <v>45597</v>
      </c>
      <c r="E4" s="89" t="s">
        <v>469</v>
      </c>
      <c r="F4" s="89" t="s">
        <v>469</v>
      </c>
      <c r="G4" s="90">
        <v>0.06</v>
      </c>
      <c r="H4">
        <f>IF(ISERROR(VLOOKUP($B4,eadm_rates!$B$2:$G$47,6,FALSE)),"n/a",IF(VLOOKUP($B4,eadm_rates!$B$2:$G$47,6,FALSE)="n/a","n/a",VLOOKUP($B4,eadm_rates!$B$2:$G$47,6,FALSE)/100))</f>
        <v>0.17</v>
      </c>
    </row>
    <row r="5" spans="1:12" x14ac:dyDescent="0.35">
      <c r="A5" t="s">
        <v>468</v>
      </c>
      <c r="B5" t="s">
        <v>53</v>
      </c>
      <c r="C5" s="89">
        <v>45659</v>
      </c>
      <c r="D5" s="89">
        <v>45597</v>
      </c>
      <c r="E5" s="89" t="s">
        <v>469</v>
      </c>
      <c r="F5" s="89" t="s">
        <v>469</v>
      </c>
      <c r="G5" s="90">
        <v>0.06</v>
      </c>
      <c r="H5">
        <f>IF(ISERROR(VLOOKUP($B5,eadm_rates!$B$2:$G$47,6,FALSE)),"n/a",IF(VLOOKUP($B5,eadm_rates!$B$2:$G$47,6,FALSE)="n/a","n/a",VLOOKUP($B5,eadm_rates!$B$2:$G$47,6,FALSE)/100))</f>
        <v>0.13</v>
      </c>
    </row>
    <row r="6" spans="1:12" x14ac:dyDescent="0.35">
      <c r="A6" t="s">
        <v>467</v>
      </c>
      <c r="B6" t="s">
        <v>22</v>
      </c>
      <c r="C6" s="89">
        <v>45663</v>
      </c>
      <c r="D6" s="89">
        <v>45604</v>
      </c>
      <c r="E6" s="89" t="s">
        <v>469</v>
      </c>
      <c r="F6" s="89" t="s">
        <v>469</v>
      </c>
      <c r="G6" s="90">
        <v>7.0000000000000007E-2</v>
      </c>
      <c r="H6">
        <f>IF(ISERROR(VLOOKUP($B6,eadm_rates!$B$2:$G$47,6,FALSE)),"n/a",IF(VLOOKUP($B6,eadm_rates!$B$2:$G$47,6,FALSE)="n/a","n/a",VLOOKUP($B6,eadm_rates!$B$2:$G$47,6,FALSE)/100))</f>
        <v>0.27</v>
      </c>
    </row>
    <row r="7" spans="1:12" x14ac:dyDescent="0.35">
      <c r="A7" t="s">
        <v>468</v>
      </c>
      <c r="B7" t="s">
        <v>48</v>
      </c>
      <c r="C7" s="89">
        <v>45659</v>
      </c>
      <c r="D7" s="89">
        <v>45597</v>
      </c>
      <c r="E7" s="89" t="s">
        <v>469</v>
      </c>
      <c r="F7" s="89" t="s">
        <v>469</v>
      </c>
      <c r="G7" s="90">
        <v>7.0000000000000007E-2</v>
      </c>
      <c r="H7">
        <f>IF(ISERROR(VLOOKUP($B7,eadm_rates!$B$2:$G$47,6,FALSE)),"n/a",IF(VLOOKUP($B7,eadm_rates!$B$2:$G$47,6,FALSE)="n/a","n/a",VLOOKUP($B7,eadm_rates!$B$2:$G$47,6,FALSE)/100))</f>
        <v>0.18</v>
      </c>
    </row>
    <row r="8" spans="1:12" x14ac:dyDescent="0.35">
      <c r="A8" t="s">
        <v>468</v>
      </c>
      <c r="B8" t="s">
        <v>74</v>
      </c>
      <c r="C8" s="89">
        <v>45660</v>
      </c>
      <c r="D8" s="89">
        <v>45597</v>
      </c>
      <c r="E8" s="89" t="s">
        <v>469</v>
      </c>
      <c r="F8" s="89" t="s">
        <v>469</v>
      </c>
      <c r="G8" s="90">
        <v>7.0000000000000007E-2</v>
      </c>
      <c r="H8">
        <f>IF(ISERROR(VLOOKUP($B8,eadm_rates!$B$2:$G$47,6,FALSE)),"n/a",IF(VLOOKUP($B8,eadm_rates!$B$2:$G$47,6,FALSE)="n/a","n/a",VLOOKUP($B8,eadm_rates!$B$2:$G$47,6,FALSE)/100))</f>
        <v>0.23</v>
      </c>
    </row>
    <row r="9" spans="1:12" x14ac:dyDescent="0.35">
      <c r="A9" t="s">
        <v>468</v>
      </c>
      <c r="B9" t="s">
        <v>15</v>
      </c>
      <c r="C9" s="89">
        <v>45662</v>
      </c>
      <c r="D9" s="89">
        <v>45597</v>
      </c>
      <c r="E9" s="89" t="s">
        <v>469</v>
      </c>
      <c r="F9" s="89" t="s">
        <v>469</v>
      </c>
      <c r="G9" s="90">
        <v>7.0000000000000007E-2</v>
      </c>
      <c r="H9">
        <f>IF(ISERROR(VLOOKUP($B9,eadm_rates!$B$2:$G$47,6,FALSE)),"n/a",IF(VLOOKUP($B9,eadm_rates!$B$2:$G$47,6,FALSE)="n/a","n/a",VLOOKUP($B9,eadm_rates!$B$2:$G$47,6,FALSE)/100))</f>
        <v>0.15</v>
      </c>
      <c r="J9" t="b">
        <f>(C9&gt;DATE(2020,1,1))</f>
        <v>1</v>
      </c>
      <c r="K9" t="b">
        <f t="shared" ref="K9:L9" si="0">(D9&gt;DATE(2020,1,1))</f>
        <v>1</v>
      </c>
      <c r="L9" t="b">
        <f t="shared" si="0"/>
        <v>1</v>
      </c>
    </row>
    <row r="10" spans="1:12" x14ac:dyDescent="0.35">
      <c r="A10" t="s">
        <v>468</v>
      </c>
      <c r="B10" t="s">
        <v>21</v>
      </c>
      <c r="C10" s="89">
        <v>45663</v>
      </c>
      <c r="D10" s="89">
        <v>45611</v>
      </c>
      <c r="E10" s="89" t="s">
        <v>469</v>
      </c>
      <c r="F10" s="89" t="s">
        <v>469</v>
      </c>
      <c r="G10" s="90">
        <v>0.08</v>
      </c>
      <c r="H10">
        <f>IF(ISERROR(VLOOKUP($B10,eadm_rates!$B$2:$G$47,6,FALSE)),"n/a",IF(VLOOKUP($B10,eadm_rates!$B$2:$G$47,6,FALSE)="n/a","n/a",VLOOKUP($B10,eadm_rates!$B$2:$G$47,6,FALSE)/100))</f>
        <v>0.23</v>
      </c>
      <c r="J10" s="94" t="b">
        <f>ISERROR(C10+1)</f>
        <v>0</v>
      </c>
      <c r="K10" s="94" t="b">
        <f>ISERROR(D10+1)</f>
        <v>0</v>
      </c>
      <c r="L10" s="94" t="b">
        <f>ISERROR(E10+1)</f>
        <v>1</v>
      </c>
    </row>
    <row r="11" spans="1:12" x14ac:dyDescent="0.35">
      <c r="A11" t="s">
        <v>468</v>
      </c>
      <c r="B11" t="s">
        <v>32</v>
      </c>
      <c r="C11" s="89">
        <v>45663</v>
      </c>
      <c r="D11" s="89">
        <v>45611</v>
      </c>
      <c r="E11" s="89">
        <v>45663</v>
      </c>
      <c r="F11" s="89" t="s">
        <v>469</v>
      </c>
      <c r="G11" s="90">
        <v>0.09</v>
      </c>
      <c r="H11">
        <f>IF(ISERROR(VLOOKUP($B11,eadm_rates!$B$2:$G$47,6,FALSE)),"n/a",IF(VLOOKUP($B11,eadm_rates!$B$2:$G$47,6,FALSE)="n/a","n/a",VLOOKUP($B11,eadm_rates!$B$2:$G$47,6,FALSE)/100))</f>
        <v>0.13</v>
      </c>
    </row>
    <row r="12" spans="1:12" x14ac:dyDescent="0.35">
      <c r="A12" t="s">
        <v>468</v>
      </c>
      <c r="B12" t="s">
        <v>45</v>
      </c>
      <c r="C12" s="89">
        <v>45661</v>
      </c>
      <c r="D12" s="89">
        <v>45597</v>
      </c>
      <c r="E12" s="89">
        <v>45661</v>
      </c>
      <c r="F12" s="89" t="s">
        <v>469</v>
      </c>
      <c r="G12" s="90">
        <v>0.1</v>
      </c>
      <c r="H12" t="str">
        <f>IF(ISERROR(VLOOKUP($B12,eadm_rates!$B$2:$G$47,6,FALSE)),"n/a",IF(VLOOKUP($B12,eadm_rates!$B$2:$G$47,6,FALSE)="n/a","n/a",VLOOKUP($B12,eadm_rates!$B$2:$G$47,6,FALSE)/100))</f>
        <v>n/a</v>
      </c>
    </row>
    <row r="13" spans="1:12" x14ac:dyDescent="0.35">
      <c r="A13" t="s">
        <v>468</v>
      </c>
      <c r="B13" t="s">
        <v>54</v>
      </c>
      <c r="C13" s="89">
        <v>45658</v>
      </c>
      <c r="D13" s="89">
        <v>45597</v>
      </c>
      <c r="E13" s="89">
        <v>45658</v>
      </c>
      <c r="F13" s="89" t="s">
        <v>469</v>
      </c>
      <c r="G13" s="90">
        <v>0.11</v>
      </c>
      <c r="H13">
        <f>IF(ISERROR(VLOOKUP($B13,eadm_rates!$B$2:$G$47,6,FALSE)),"n/a",IF(VLOOKUP($B13,eadm_rates!$B$2:$G$47,6,FALSE)="n/a","n/a",VLOOKUP($B13,eadm_rates!$B$2:$G$47,6,FALSE)/100))</f>
        <v>0.32</v>
      </c>
    </row>
    <row r="14" spans="1:12" x14ac:dyDescent="0.35">
      <c r="A14" t="s">
        <v>468</v>
      </c>
      <c r="B14" t="s">
        <v>146</v>
      </c>
      <c r="C14" s="89">
        <v>45672</v>
      </c>
      <c r="D14" s="89">
        <v>45611</v>
      </c>
      <c r="E14" s="89">
        <v>45662</v>
      </c>
      <c r="F14" s="89"/>
      <c r="G14" s="90">
        <v>0.11</v>
      </c>
      <c r="H14">
        <f>IF(ISERROR(VLOOKUP($B14,eadm_rates!$B$2:$G$47,6,FALSE)),"n/a",IF(VLOOKUP($B14,eadm_rates!$B$2:$G$47,6,FALSE)="n/a","n/a",VLOOKUP($B14,eadm_rates!$B$2:$G$47,6,FALSE)/100))</f>
        <v>0.34</v>
      </c>
    </row>
    <row r="15" spans="1:12" x14ac:dyDescent="0.35">
      <c r="A15" t="s">
        <v>468</v>
      </c>
      <c r="B15" t="s">
        <v>354</v>
      </c>
      <c r="C15" s="89">
        <v>45659</v>
      </c>
      <c r="D15" s="89">
        <v>45597</v>
      </c>
      <c r="E15" s="89">
        <v>45659</v>
      </c>
      <c r="F15" s="89" t="s">
        <v>469</v>
      </c>
      <c r="G15" s="90">
        <v>0.12</v>
      </c>
      <c r="H15">
        <f>IF(ISERROR(VLOOKUP($B15,eadm_rates!$B$2:$G$47,6,FALSE)),"n/a",IF(VLOOKUP($B15,eadm_rates!$B$2:$G$47,6,FALSE)="n/a","n/a",VLOOKUP($B15,eadm_rates!$B$2:$G$47,6,FALSE)/100))</f>
        <v>0.26</v>
      </c>
    </row>
    <row r="16" spans="1:12" x14ac:dyDescent="0.35">
      <c r="A16" t="s">
        <v>468</v>
      </c>
      <c r="B16" t="s">
        <v>57</v>
      </c>
      <c r="C16" s="89">
        <v>45667</v>
      </c>
      <c r="D16" s="89" t="s">
        <v>469</v>
      </c>
      <c r="E16" s="89" t="s">
        <v>469</v>
      </c>
      <c r="F16" s="89">
        <v>45597</v>
      </c>
      <c r="G16" s="90">
        <v>0.12</v>
      </c>
      <c r="H16">
        <f>IF(ISERROR(VLOOKUP($B16,eadm_rates!$B$2:$G$47,6,FALSE)),"n/a",IF(VLOOKUP($B16,eadm_rates!$B$2:$G$47,6,FALSE)="n/a","n/a",VLOOKUP($B16,eadm_rates!$B$2:$G$47,6,FALSE)/100))</f>
        <v>0.1</v>
      </c>
    </row>
    <row r="17" spans="1:8" x14ac:dyDescent="0.35">
      <c r="A17" t="s">
        <v>468</v>
      </c>
      <c r="B17" t="s">
        <v>163</v>
      </c>
      <c r="C17" s="89">
        <v>45660</v>
      </c>
      <c r="D17" s="89">
        <v>45597</v>
      </c>
      <c r="E17" s="89">
        <v>45660</v>
      </c>
      <c r="F17" s="89" t="s">
        <v>469</v>
      </c>
      <c r="G17" s="90">
        <v>0.13</v>
      </c>
      <c r="H17">
        <f>IF(ISERROR(VLOOKUP($B17,eadm_rates!$B$2:$G$47,6,FALSE)),"n/a",IF(VLOOKUP($B17,eadm_rates!$B$2:$G$47,6,FALSE)="n/a","n/a",VLOOKUP($B17,eadm_rates!$B$2:$G$47,6,FALSE)/100))</f>
        <v>0.34</v>
      </c>
    </row>
    <row r="18" spans="1:8" x14ac:dyDescent="0.35">
      <c r="A18" t="s">
        <v>468</v>
      </c>
      <c r="B18" t="s">
        <v>142</v>
      </c>
      <c r="C18" s="89">
        <v>45658</v>
      </c>
      <c r="D18" s="89">
        <v>45611</v>
      </c>
      <c r="E18" s="89">
        <v>45658</v>
      </c>
      <c r="F18" s="89" t="s">
        <v>469</v>
      </c>
      <c r="G18" s="90">
        <v>0.14000000000000001</v>
      </c>
      <c r="H18">
        <f>IF(ISERROR(VLOOKUP($B18,eadm_rates!$B$2:$G$47,6,FALSE)),"n/a",IF(VLOOKUP($B18,eadm_rates!$B$2:$G$47,6,FALSE)="n/a","n/a",VLOOKUP($B18,eadm_rates!$B$2:$G$47,6,FALSE)/100))</f>
        <v>0.4</v>
      </c>
    </row>
    <row r="19" spans="1:8" x14ac:dyDescent="0.35">
      <c r="A19" t="s">
        <v>468</v>
      </c>
      <c r="B19" t="s">
        <v>28</v>
      </c>
      <c r="C19" s="89">
        <v>45667</v>
      </c>
      <c r="D19" s="89">
        <v>45611</v>
      </c>
      <c r="E19" s="89">
        <v>45667</v>
      </c>
      <c r="F19" s="89" t="s">
        <v>469</v>
      </c>
      <c r="G19" s="90">
        <v>0.14000000000000001</v>
      </c>
      <c r="H19">
        <f>IF(ISERROR(VLOOKUP($B19,eadm_rates!$B$2:$G$47,6,FALSE)),"n/a",IF(VLOOKUP($B19,eadm_rates!$B$2:$G$47,6,FALSE)="n/a","n/a",VLOOKUP($B19,eadm_rates!$B$2:$G$47,6,FALSE)/100))</f>
        <v>0.42</v>
      </c>
    </row>
    <row r="20" spans="1:8" x14ac:dyDescent="0.35">
      <c r="A20" t="s">
        <v>468</v>
      </c>
      <c r="B20" t="s">
        <v>38</v>
      </c>
      <c r="C20" s="89">
        <v>45672</v>
      </c>
      <c r="D20" s="89">
        <v>45611</v>
      </c>
      <c r="E20" s="89" t="s">
        <v>469</v>
      </c>
      <c r="F20" s="89" t="s">
        <v>469</v>
      </c>
      <c r="G20" s="90">
        <v>0.17</v>
      </c>
      <c r="H20">
        <f>IF(ISERROR(VLOOKUP($B20,eadm_rates!$B$2:$G$47,6,FALSE)),"n/a",IF(VLOOKUP($B20,eadm_rates!$B$2:$G$47,6,FALSE)="n/a","n/a",VLOOKUP($B20,eadm_rates!$B$2:$G$47,6,FALSE)/100))</f>
        <v>0.39</v>
      </c>
    </row>
    <row r="21" spans="1:8" x14ac:dyDescent="0.35">
      <c r="A21" t="s">
        <v>468</v>
      </c>
      <c r="B21" t="s">
        <v>149</v>
      </c>
      <c r="C21" s="89">
        <v>45689</v>
      </c>
      <c r="D21" s="89" t="s">
        <v>469</v>
      </c>
      <c r="E21" s="89" t="s">
        <v>469</v>
      </c>
      <c r="F21" s="89">
        <v>45597</v>
      </c>
      <c r="G21" s="90">
        <v>0.18</v>
      </c>
      <c r="H21" t="str">
        <f>IF(ISERROR(VLOOKUP($B21,eadm_rates!$B$2:$G$47,6,FALSE)),"n/a",IF(VLOOKUP($B21,eadm_rates!$B$2:$G$47,6,FALSE)="n/a","n/a",VLOOKUP($B21,eadm_rates!$B$2:$G$47,6,FALSE)/100))</f>
        <v>n/a</v>
      </c>
    </row>
    <row r="22" spans="1:8" x14ac:dyDescent="0.35">
      <c r="A22" t="s">
        <v>468</v>
      </c>
      <c r="B22" t="s">
        <v>35</v>
      </c>
      <c r="C22" s="89">
        <v>45672</v>
      </c>
      <c r="D22" s="89">
        <v>45611</v>
      </c>
      <c r="E22" s="89">
        <v>45658</v>
      </c>
      <c r="F22" s="89" t="s">
        <v>469</v>
      </c>
      <c r="G22" s="90">
        <v>0.23</v>
      </c>
      <c r="H22">
        <f>IF(ISERROR(VLOOKUP($B22,eadm_rates!$B$2:$G$47,6,FALSE)),"n/a",IF(VLOOKUP($B22,eadm_rates!$B$2:$G$47,6,FALSE)="n/a","n/a",VLOOKUP($B22,eadm_rates!$B$2:$G$47,6,FALSE)/100))</f>
        <v>0.33</v>
      </c>
    </row>
    <row r="23" spans="1:8" x14ac:dyDescent="0.35">
      <c r="A23" t="s">
        <v>468</v>
      </c>
      <c r="B23" t="s">
        <v>42</v>
      </c>
      <c r="C23" s="89">
        <v>45672</v>
      </c>
      <c r="D23" s="89">
        <v>45597</v>
      </c>
      <c r="E23" s="89">
        <v>45672</v>
      </c>
      <c r="F23" s="89">
        <v>45597</v>
      </c>
      <c r="G23" s="90">
        <v>0.27</v>
      </c>
      <c r="H23" t="str">
        <f>IF(ISERROR(VLOOKUP($B23,eadm_rates!$B$2:$G$47,6,FALSE)),"n/a",IF(VLOOKUP($B23,eadm_rates!$B$2:$G$47,6,FALSE)="n/a","n/a",VLOOKUP($B23,eadm_rates!$B$2:$G$47,6,FALSE)/100))</f>
        <v>n/a</v>
      </c>
    </row>
    <row r="24" spans="1:8" x14ac:dyDescent="0.35">
      <c r="A24" t="s">
        <v>468</v>
      </c>
      <c r="B24" t="s">
        <v>158</v>
      </c>
      <c r="C24" s="89">
        <v>45672</v>
      </c>
      <c r="D24" s="89">
        <v>45597</v>
      </c>
      <c r="E24" s="89">
        <v>45646</v>
      </c>
      <c r="F24" s="89">
        <v>45597</v>
      </c>
      <c r="G24" s="90">
        <v>0.31</v>
      </c>
      <c r="H24" t="str">
        <f>IF(ISERROR(VLOOKUP($B24,eadm_rates!$B$2:$G$47,6,FALSE)),"n/a",IF(VLOOKUP($B24,eadm_rates!$B$2:$G$47,6,FALSE)="n/a","n/a",VLOOKUP($B24,eadm_rates!$B$2:$G$47,6,FALSE)/100))</f>
        <v>n/a</v>
      </c>
    </row>
    <row r="25" spans="1:8" x14ac:dyDescent="0.35">
      <c r="A25" t="s">
        <v>468</v>
      </c>
      <c r="B25" t="s">
        <v>62</v>
      </c>
      <c r="C25" s="89">
        <v>45672</v>
      </c>
      <c r="D25" s="89">
        <v>45611</v>
      </c>
      <c r="E25" s="89">
        <v>45672</v>
      </c>
      <c r="F25" s="89" t="s">
        <v>469</v>
      </c>
      <c r="G25" s="90">
        <v>0.34</v>
      </c>
      <c r="H25" t="str">
        <f>IF(ISERROR(VLOOKUP($B25,eadm_rates!$B$2:$G$47,6,FALSE)),"n/a",IF(VLOOKUP($B25,eadm_rates!$B$2:$G$47,6,FALSE)="n/a","n/a",VLOOKUP($B25,eadm_rates!$B$2:$G$47,6,FALSE)/100))</f>
        <v>n/a</v>
      </c>
    </row>
    <row r="26" spans="1:8" x14ac:dyDescent="0.35">
      <c r="A26" t="s">
        <v>468</v>
      </c>
      <c r="B26" t="s">
        <v>23</v>
      </c>
      <c r="C26" s="89">
        <v>45672</v>
      </c>
      <c r="D26" s="89">
        <v>45611</v>
      </c>
      <c r="E26" s="89">
        <v>45659</v>
      </c>
      <c r="F26" s="89" t="s">
        <v>469</v>
      </c>
      <c r="G26" s="90">
        <v>0.35</v>
      </c>
      <c r="H26" t="str">
        <f>IF(ISERROR(VLOOKUP($B26,eadm_rates!$B$2:$G$47,6,FALSE)),"n/a",IF(VLOOKUP($B26,eadm_rates!$B$2:$G$47,6,FALSE)="n/a","n/a",VLOOKUP($B26,eadm_rates!$B$2:$G$47,6,FALSE)/100))</f>
        <v>n/a</v>
      </c>
    </row>
    <row r="27" spans="1:8" x14ac:dyDescent="0.35">
      <c r="A27" t="s">
        <v>468</v>
      </c>
      <c r="B27" t="s">
        <v>443</v>
      </c>
      <c r="C27" s="89">
        <v>45603</v>
      </c>
      <c r="D27" s="89" t="s">
        <v>469</v>
      </c>
      <c r="E27" s="89" t="s">
        <v>469</v>
      </c>
      <c r="F27" s="89" t="s">
        <v>469</v>
      </c>
      <c r="G27" s="90">
        <v>0.43</v>
      </c>
      <c r="H27" t="str">
        <f>IF(ISERROR(VLOOKUP($B27,eadm_rates!$B$2:$G$47,6,FALSE)),"n/a",IF(VLOOKUP($B27,eadm_rates!$B$2:$G$47,6,FALSE)="n/a","n/a",VLOOKUP($B27,eadm_rates!$B$2:$G$47,6,FALSE)/100))</f>
        <v>n/a</v>
      </c>
    </row>
    <row r="28" spans="1:8" x14ac:dyDescent="0.35">
      <c r="A28" t="s">
        <v>467</v>
      </c>
      <c r="B28" t="s">
        <v>24</v>
      </c>
      <c r="C28" s="89">
        <v>45658</v>
      </c>
      <c r="D28" s="89">
        <v>45597</v>
      </c>
      <c r="E28" s="89">
        <v>45658</v>
      </c>
      <c r="F28" s="89">
        <v>45597</v>
      </c>
      <c r="G28" s="90">
        <v>0.46</v>
      </c>
      <c r="H28" t="str">
        <f>IF(ISERROR(VLOOKUP($B28,eadm_rates!$B$2:$G$47,6,FALSE)),"n/a",IF(VLOOKUP($B28,eadm_rates!$B$2:$G$47,6,FALSE)="n/a","n/a",VLOOKUP($B28,eadm_rates!$B$2:$G$47,6,FALSE)/100))</f>
        <v>n/a</v>
      </c>
    </row>
    <row r="29" spans="1:8" x14ac:dyDescent="0.35">
      <c r="A29" t="s">
        <v>468</v>
      </c>
      <c r="B29" t="s">
        <v>68</v>
      </c>
      <c r="C29" s="89">
        <v>45672</v>
      </c>
      <c r="D29" s="89" t="s">
        <v>469</v>
      </c>
      <c r="E29" s="89" t="s">
        <v>469</v>
      </c>
      <c r="F29" s="89" t="s">
        <v>469</v>
      </c>
      <c r="G29" s="90">
        <v>0.46</v>
      </c>
      <c r="H29" t="str">
        <f>IF(ISERROR(VLOOKUP($B29,eadm_rates!$B$2:$G$47,6,FALSE)),"n/a",IF(VLOOKUP($B29,eadm_rates!$B$2:$G$47,6,FALSE)="n/a","n/a",VLOOKUP($B29,eadm_rates!$B$2:$G$47,6,FALSE)/100))</f>
        <v>n/a</v>
      </c>
    </row>
    <row r="30" spans="1:8" x14ac:dyDescent="0.35">
      <c r="A30" t="s">
        <v>468</v>
      </c>
      <c r="B30" t="s">
        <v>167</v>
      </c>
      <c r="C30" s="89">
        <v>45672</v>
      </c>
      <c r="D30" s="89" t="s">
        <v>469</v>
      </c>
      <c r="E30" s="89" t="s">
        <v>469</v>
      </c>
      <c r="F30" s="89">
        <v>45597</v>
      </c>
      <c r="G30" s="90">
        <v>0.49</v>
      </c>
      <c r="H30" t="str">
        <f>IF(ISERROR(VLOOKUP($B30,eadm_rates!$B$2:$G$47,6,FALSE)),"n/a",IF(VLOOKUP($B30,eadm_rates!$B$2:$G$47,6,FALSE)="n/a","n/a",VLOOKUP($B30,eadm_rates!$B$2:$G$47,6,FALSE)/100))</f>
        <v>n/a</v>
      </c>
    </row>
    <row r="31" spans="1:8" x14ac:dyDescent="0.35">
      <c r="A31" t="s">
        <v>468</v>
      </c>
      <c r="B31" t="s">
        <v>145</v>
      </c>
      <c r="C31" s="89">
        <v>45689</v>
      </c>
      <c r="D31" s="89" t="s">
        <v>469</v>
      </c>
      <c r="E31" s="89" t="s">
        <v>469</v>
      </c>
      <c r="F31" s="89">
        <v>45597</v>
      </c>
      <c r="G31" s="90">
        <v>0.5</v>
      </c>
      <c r="H31" t="str">
        <f>IF(ISERROR(VLOOKUP($B31,eadm_rates!$B$2:$G$47,6,FALSE)),"n/a",IF(VLOOKUP($B31,eadm_rates!$B$2:$G$47,6,FALSE)="n/a","n/a",VLOOKUP($B31,eadm_rates!$B$2:$G$47,6,FALSE)/100))</f>
        <v>n/a</v>
      </c>
    </row>
    <row r="32" spans="1:8" x14ac:dyDescent="0.35">
      <c r="A32" t="s">
        <v>468</v>
      </c>
      <c r="B32" t="s">
        <v>17</v>
      </c>
      <c r="C32" s="89">
        <v>45672</v>
      </c>
      <c r="D32" s="89">
        <v>45597</v>
      </c>
      <c r="E32" s="89" t="s">
        <v>469</v>
      </c>
      <c r="F32" s="89">
        <v>45597</v>
      </c>
      <c r="G32" s="90">
        <v>0.6</v>
      </c>
      <c r="H32" t="str">
        <f>IF(ISERROR(VLOOKUP($B32,eadm_rates!$B$2:$G$47,6,FALSE)),"n/a",IF(VLOOKUP($B32,eadm_rates!$B$2:$G$47,6,FALSE)="n/a","n/a",VLOOKUP($B32,eadm_rates!$B$2:$G$47,6,FALSE)/100))</f>
        <v>n/a</v>
      </c>
    </row>
    <row r="33" spans="1:8" x14ac:dyDescent="0.35">
      <c r="A33" t="s">
        <v>468</v>
      </c>
      <c r="B33" t="s">
        <v>33</v>
      </c>
      <c r="C33" s="15">
        <v>45665</v>
      </c>
      <c r="D33" s="89">
        <v>45597</v>
      </c>
      <c r="E33" s="15">
        <v>45665</v>
      </c>
      <c r="F33" s="89" t="s">
        <v>469</v>
      </c>
      <c r="G33" s="90">
        <v>0.26</v>
      </c>
      <c r="H33" t="str">
        <f>IF(ISERROR(VLOOKUP($B33,eadm_rates!$B$2:$G$47,6,FALSE)),"n/a",IF(VLOOKUP($B33,eadm_rates!$B$2:$G$47,6,FALSE)="n/a","n/a",VLOOKUP($B33,eadm_rates!$B$2:$G$47,6,FALSE)/100))</f>
        <v>n/a</v>
      </c>
    </row>
  </sheetData>
  <sortState xmlns:xlrd2="http://schemas.microsoft.com/office/spreadsheetml/2017/richdata2" ref="A2:G32">
    <sortCondition ref="G2:G3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A514D-3C74-4BE0-9DC6-1AB9746DC018}">
  <sheetPr codeName="Sheet10"/>
  <dimension ref="A1:G49"/>
  <sheetViews>
    <sheetView topLeftCell="A7" zoomScale="85" zoomScaleNormal="85" workbookViewId="0">
      <selection activeCell="B18" sqref="A18:XFD18"/>
    </sheetView>
  </sheetViews>
  <sheetFormatPr defaultColWidth="8.90625" defaultRowHeight="14.5" x14ac:dyDescent="0.35"/>
  <cols>
    <col min="2" max="2" width="35.81640625" bestFit="1" customWidth="1"/>
  </cols>
  <sheetData>
    <row r="1" spans="1:7" x14ac:dyDescent="0.35">
      <c r="A1" t="s">
        <v>470</v>
      </c>
      <c r="B1" t="s">
        <v>416</v>
      </c>
      <c r="C1" t="s">
        <v>392</v>
      </c>
      <c r="D1">
        <v>2028</v>
      </c>
      <c r="E1">
        <v>2027</v>
      </c>
      <c r="F1">
        <v>2026</v>
      </c>
      <c r="G1" t="s">
        <v>473</v>
      </c>
    </row>
    <row r="2" spans="1:7" x14ac:dyDescent="0.35">
      <c r="A2">
        <v>13</v>
      </c>
      <c r="B2" s="81" t="s">
        <v>22</v>
      </c>
      <c r="C2" s="28">
        <v>164465</v>
      </c>
      <c r="E2">
        <v>27</v>
      </c>
      <c r="F2">
        <v>32</v>
      </c>
      <c r="G2">
        <f>IF(ISBLANK(D2),IF(ISBLANK(E2),IF(ISBLANK(F2),"n/a",F2),E2),D2)</f>
        <v>27</v>
      </c>
    </row>
    <row r="3" spans="1:7" x14ac:dyDescent="0.35">
      <c r="A3">
        <v>19</v>
      </c>
      <c r="B3" s="34" t="s">
        <v>26</v>
      </c>
      <c r="C3" s="28">
        <v>189097</v>
      </c>
      <c r="G3" t="str">
        <f t="shared" ref="G3:G47" si="0">IF(ISBLANK(D3),IF(ISBLANK(E3),IF(ISBLANK(F3),"n/a",F3),E3),D3)</f>
        <v>n/a</v>
      </c>
    </row>
    <row r="4" spans="1:7" x14ac:dyDescent="0.35">
      <c r="A4">
        <v>37</v>
      </c>
      <c r="B4" s="34" t="s">
        <v>28</v>
      </c>
      <c r="C4" s="28">
        <v>160977</v>
      </c>
      <c r="E4">
        <v>42</v>
      </c>
      <c r="G4">
        <f t="shared" si="0"/>
        <v>42</v>
      </c>
    </row>
    <row r="5" spans="1:7" x14ac:dyDescent="0.35">
      <c r="A5">
        <v>41</v>
      </c>
      <c r="B5" s="34" t="s">
        <v>2</v>
      </c>
      <c r="C5" s="28">
        <v>164924</v>
      </c>
      <c r="G5" t="str">
        <f t="shared" si="0"/>
        <v>n/a</v>
      </c>
    </row>
    <row r="6" spans="1:7" x14ac:dyDescent="0.35">
      <c r="A6">
        <v>39</v>
      </c>
      <c r="B6" s="92" t="s">
        <v>3</v>
      </c>
      <c r="C6" s="28">
        <v>164988</v>
      </c>
      <c r="G6" t="str">
        <f t="shared" si="0"/>
        <v>n/a</v>
      </c>
    </row>
    <row r="7" spans="1:7" x14ac:dyDescent="0.35">
      <c r="A7">
        <v>18</v>
      </c>
      <c r="B7" s="81" t="s">
        <v>32</v>
      </c>
      <c r="C7" s="28">
        <v>161004</v>
      </c>
      <c r="D7">
        <v>13</v>
      </c>
      <c r="E7">
        <v>18</v>
      </c>
      <c r="F7">
        <v>27</v>
      </c>
      <c r="G7">
        <f t="shared" si="0"/>
        <v>13</v>
      </c>
    </row>
    <row r="8" spans="1:7" x14ac:dyDescent="0.35">
      <c r="A8">
        <v>3</v>
      </c>
      <c r="B8" s="81" t="s">
        <v>34</v>
      </c>
      <c r="C8" s="28">
        <v>217156</v>
      </c>
      <c r="D8">
        <v>14</v>
      </c>
      <c r="E8">
        <v>13</v>
      </c>
      <c r="F8">
        <v>15</v>
      </c>
      <c r="G8">
        <f t="shared" si="0"/>
        <v>14</v>
      </c>
    </row>
    <row r="9" spans="1:7" x14ac:dyDescent="0.35">
      <c r="A9">
        <v>40</v>
      </c>
      <c r="B9" s="34" t="s">
        <v>38</v>
      </c>
      <c r="C9" s="28">
        <v>173258</v>
      </c>
      <c r="E9">
        <v>39</v>
      </c>
      <c r="F9">
        <v>23</v>
      </c>
      <c r="G9">
        <f t="shared" si="0"/>
        <v>39</v>
      </c>
    </row>
    <row r="10" spans="1:7" x14ac:dyDescent="0.35">
      <c r="A10">
        <v>22</v>
      </c>
      <c r="B10" s="34" t="s">
        <v>40</v>
      </c>
      <c r="C10" s="28">
        <v>211440</v>
      </c>
      <c r="G10" t="str">
        <f t="shared" si="0"/>
        <v>n/a</v>
      </c>
    </row>
    <row r="11" spans="1:7" x14ac:dyDescent="0.35">
      <c r="A11">
        <v>16</v>
      </c>
      <c r="B11" s="34" t="s">
        <v>71</v>
      </c>
      <c r="C11" s="31">
        <v>161086</v>
      </c>
      <c r="G11" t="str">
        <f t="shared" si="0"/>
        <v>n/a</v>
      </c>
    </row>
    <row r="12" spans="1:7" x14ac:dyDescent="0.35">
      <c r="A12">
        <v>32</v>
      </c>
      <c r="B12" s="43" t="s">
        <v>46</v>
      </c>
      <c r="C12" s="28">
        <v>190099</v>
      </c>
      <c r="G12" t="str">
        <f t="shared" si="0"/>
        <v>n/a</v>
      </c>
    </row>
    <row r="13" spans="1:7" x14ac:dyDescent="0.35">
      <c r="A13">
        <v>11</v>
      </c>
      <c r="B13" s="34" t="s">
        <v>48</v>
      </c>
      <c r="C13" s="28">
        <v>190415</v>
      </c>
      <c r="E13">
        <v>18</v>
      </c>
      <c r="F13">
        <v>19</v>
      </c>
      <c r="G13">
        <f t="shared" si="0"/>
        <v>18</v>
      </c>
    </row>
    <row r="14" spans="1:7" x14ac:dyDescent="0.35">
      <c r="A14">
        <v>4</v>
      </c>
      <c r="B14" s="81" t="s">
        <v>49</v>
      </c>
      <c r="C14" s="28">
        <v>182670</v>
      </c>
      <c r="D14">
        <v>17</v>
      </c>
      <c r="E14">
        <v>20</v>
      </c>
      <c r="F14">
        <v>21</v>
      </c>
      <c r="G14">
        <f t="shared" si="0"/>
        <v>17</v>
      </c>
    </row>
    <row r="15" spans="1:7" x14ac:dyDescent="0.35">
      <c r="A15">
        <v>43</v>
      </c>
      <c r="B15" s="34" t="s">
        <v>50</v>
      </c>
      <c r="C15" s="31">
        <v>198385</v>
      </c>
      <c r="G15" t="str">
        <f t="shared" si="0"/>
        <v>n/a</v>
      </c>
    </row>
    <row r="16" spans="1:7" x14ac:dyDescent="0.35">
      <c r="A16">
        <v>6</v>
      </c>
      <c r="B16" s="43" t="s">
        <v>53</v>
      </c>
      <c r="C16" s="28">
        <v>198419</v>
      </c>
      <c r="D16">
        <v>13</v>
      </c>
      <c r="E16">
        <v>16</v>
      </c>
      <c r="F16">
        <v>20</v>
      </c>
      <c r="G16">
        <f t="shared" si="0"/>
        <v>13</v>
      </c>
    </row>
    <row r="17" spans="1:7" x14ac:dyDescent="0.35">
      <c r="A17">
        <v>23</v>
      </c>
      <c r="B17" s="34" t="s">
        <v>54</v>
      </c>
      <c r="C17" s="28">
        <v>139658</v>
      </c>
      <c r="D17">
        <v>32</v>
      </c>
      <c r="E17">
        <v>37</v>
      </c>
      <c r="F17">
        <v>36</v>
      </c>
      <c r="G17">
        <f t="shared" si="0"/>
        <v>32</v>
      </c>
    </row>
    <row r="18" spans="1:7" x14ac:dyDescent="0.35">
      <c r="A18">
        <v>30</v>
      </c>
      <c r="B18" s="34" t="s">
        <v>57</v>
      </c>
      <c r="C18" s="28">
        <v>131496</v>
      </c>
      <c r="D18">
        <v>10</v>
      </c>
      <c r="E18">
        <v>12</v>
      </c>
      <c r="F18">
        <v>10</v>
      </c>
      <c r="G18">
        <f t="shared" si="0"/>
        <v>10</v>
      </c>
    </row>
    <row r="19" spans="1:7" x14ac:dyDescent="0.35">
      <c r="A19">
        <v>24</v>
      </c>
      <c r="B19" s="34" t="s">
        <v>146</v>
      </c>
      <c r="C19" s="31">
        <v>153384</v>
      </c>
      <c r="D19">
        <v>34</v>
      </c>
      <c r="F19">
        <v>53</v>
      </c>
      <c r="G19">
        <f t="shared" si="0"/>
        <v>34</v>
      </c>
    </row>
    <row r="20" spans="1:7" x14ac:dyDescent="0.35">
      <c r="A20">
        <v>31</v>
      </c>
      <c r="B20" s="43" t="s">
        <v>153</v>
      </c>
      <c r="C20" s="28">
        <v>191515</v>
      </c>
      <c r="G20" t="str">
        <f t="shared" si="0"/>
        <v>n/a</v>
      </c>
    </row>
    <row r="21" spans="1:7" x14ac:dyDescent="0.35">
      <c r="A21">
        <v>45</v>
      </c>
      <c r="B21" s="34" t="s">
        <v>59</v>
      </c>
      <c r="C21" s="28">
        <v>166027</v>
      </c>
      <c r="D21">
        <v>8</v>
      </c>
      <c r="E21">
        <v>8</v>
      </c>
      <c r="F21">
        <v>8</v>
      </c>
      <c r="G21">
        <f t="shared" si="0"/>
        <v>8</v>
      </c>
    </row>
    <row r="22" spans="1:7" x14ac:dyDescent="0.35">
      <c r="A22">
        <v>36</v>
      </c>
      <c r="B22" s="34" t="s">
        <v>160</v>
      </c>
      <c r="C22" s="28">
        <v>212911</v>
      </c>
      <c r="G22" t="str">
        <f t="shared" si="0"/>
        <v>n/a</v>
      </c>
    </row>
    <row r="23" spans="1:7" x14ac:dyDescent="0.35">
      <c r="A23">
        <v>33</v>
      </c>
      <c r="B23" s="34" t="s">
        <v>163</v>
      </c>
      <c r="C23" s="28">
        <v>230959</v>
      </c>
      <c r="E23">
        <v>34</v>
      </c>
      <c r="F23">
        <v>42</v>
      </c>
      <c r="G23">
        <f t="shared" si="0"/>
        <v>34</v>
      </c>
    </row>
    <row r="24" spans="1:7" x14ac:dyDescent="0.35">
      <c r="A24">
        <v>28</v>
      </c>
      <c r="B24" s="73" t="s">
        <v>7</v>
      </c>
      <c r="C24" s="73">
        <v>193900</v>
      </c>
      <c r="G24" t="str">
        <f t="shared" si="0"/>
        <v>n/a</v>
      </c>
    </row>
    <row r="25" spans="1:7" x14ac:dyDescent="0.35">
      <c r="A25">
        <v>14</v>
      </c>
      <c r="B25" s="29" t="s">
        <v>148</v>
      </c>
      <c r="C25" s="29">
        <v>167358</v>
      </c>
      <c r="G25" t="str">
        <f t="shared" si="0"/>
        <v>n/a</v>
      </c>
    </row>
    <row r="26" spans="1:7" x14ac:dyDescent="0.35">
      <c r="A26">
        <v>10</v>
      </c>
      <c r="B26" s="82" t="s">
        <v>74</v>
      </c>
      <c r="C26" s="29">
        <v>147767</v>
      </c>
      <c r="E26">
        <v>23</v>
      </c>
      <c r="F26">
        <v>22</v>
      </c>
      <c r="G26">
        <f t="shared" si="0"/>
        <v>23</v>
      </c>
    </row>
    <row r="27" spans="1:7" x14ac:dyDescent="0.35">
      <c r="A27">
        <v>8</v>
      </c>
      <c r="B27" s="29" t="s">
        <v>27</v>
      </c>
      <c r="C27" s="29">
        <v>121345</v>
      </c>
      <c r="G27" t="str">
        <f t="shared" si="0"/>
        <v>n/a</v>
      </c>
    </row>
    <row r="28" spans="1:7" x14ac:dyDescent="0.35">
      <c r="A28">
        <v>5</v>
      </c>
      <c r="B28" s="29" t="s">
        <v>29</v>
      </c>
      <c r="C28" s="29">
        <v>186131</v>
      </c>
      <c r="G28" t="str">
        <f t="shared" si="0"/>
        <v>n/a</v>
      </c>
    </row>
    <row r="29" spans="1:7" x14ac:dyDescent="0.35">
      <c r="A29">
        <v>17</v>
      </c>
      <c r="B29" s="29" t="s">
        <v>30</v>
      </c>
      <c r="C29" s="29">
        <v>227757</v>
      </c>
      <c r="D29">
        <v>15</v>
      </c>
      <c r="G29">
        <f t="shared" si="0"/>
        <v>15</v>
      </c>
    </row>
    <row r="30" spans="1:7" x14ac:dyDescent="0.35">
      <c r="A30">
        <v>12</v>
      </c>
      <c r="B30" s="29" t="s">
        <v>41</v>
      </c>
      <c r="C30" s="29">
        <v>216287</v>
      </c>
      <c r="G30" t="str">
        <f t="shared" si="0"/>
        <v>n/a</v>
      </c>
    </row>
    <row r="31" spans="1:7" x14ac:dyDescent="0.35">
      <c r="A31">
        <v>21</v>
      </c>
      <c r="B31" s="82" t="s">
        <v>45</v>
      </c>
      <c r="C31" s="29">
        <v>168148</v>
      </c>
      <c r="G31" t="str">
        <f t="shared" si="0"/>
        <v>n/a</v>
      </c>
    </row>
    <row r="32" spans="1:7" x14ac:dyDescent="0.35">
      <c r="A32">
        <v>25</v>
      </c>
      <c r="B32" s="29" t="s">
        <v>147</v>
      </c>
      <c r="C32" s="29">
        <v>160755</v>
      </c>
      <c r="G32" t="str">
        <f t="shared" si="0"/>
        <v>n/a</v>
      </c>
    </row>
    <row r="33" spans="1:7" x14ac:dyDescent="0.35">
      <c r="A33">
        <v>26</v>
      </c>
      <c r="B33" s="82" t="s">
        <v>135</v>
      </c>
      <c r="C33" s="29">
        <v>110635</v>
      </c>
      <c r="G33" t="str">
        <f t="shared" si="0"/>
        <v>n/a</v>
      </c>
    </row>
    <row r="34" spans="1:7" ht="15" thickBot="1" x14ac:dyDescent="0.4">
      <c r="A34">
        <v>20</v>
      </c>
      <c r="B34" s="72" t="s">
        <v>138</v>
      </c>
      <c r="C34" s="29">
        <v>110662</v>
      </c>
      <c r="G34" t="str">
        <f t="shared" si="0"/>
        <v>n/a</v>
      </c>
    </row>
    <row r="35" spans="1:7" x14ac:dyDescent="0.35">
      <c r="A35">
        <v>1</v>
      </c>
      <c r="B35" s="93" t="s">
        <v>12</v>
      </c>
      <c r="C35" s="29">
        <v>144050</v>
      </c>
      <c r="G35" t="str">
        <f t="shared" si="0"/>
        <v>n/a</v>
      </c>
    </row>
    <row r="36" spans="1:7" x14ac:dyDescent="0.35">
      <c r="A36">
        <v>44</v>
      </c>
      <c r="B36" s="82" t="s">
        <v>149</v>
      </c>
      <c r="C36" s="29">
        <v>170976</v>
      </c>
      <c r="G36" t="str">
        <f t="shared" si="0"/>
        <v>n/a</v>
      </c>
    </row>
    <row r="37" spans="1:7" x14ac:dyDescent="0.35">
      <c r="A37">
        <v>42</v>
      </c>
      <c r="B37" s="29" t="s">
        <v>157</v>
      </c>
      <c r="C37" s="29">
        <v>199120</v>
      </c>
      <c r="G37" t="str">
        <f t="shared" si="0"/>
        <v>n/a</v>
      </c>
    </row>
    <row r="38" spans="1:7" x14ac:dyDescent="0.35">
      <c r="A38">
        <v>34</v>
      </c>
      <c r="B38" s="29" t="s">
        <v>14</v>
      </c>
      <c r="C38" s="29">
        <v>152080</v>
      </c>
      <c r="G38" t="str">
        <f t="shared" si="0"/>
        <v>n/a</v>
      </c>
    </row>
    <row r="39" spans="1:7" x14ac:dyDescent="0.35">
      <c r="A39">
        <v>7</v>
      </c>
      <c r="B39" s="82" t="s">
        <v>15</v>
      </c>
      <c r="C39" s="29">
        <v>215062</v>
      </c>
      <c r="E39">
        <v>15</v>
      </c>
      <c r="F39">
        <v>16</v>
      </c>
      <c r="G39">
        <f t="shared" si="0"/>
        <v>15</v>
      </c>
    </row>
    <row r="40" spans="1:7" x14ac:dyDescent="0.35">
      <c r="A40">
        <v>29</v>
      </c>
      <c r="B40" s="29" t="s">
        <v>16</v>
      </c>
      <c r="C40" s="29">
        <v>123961</v>
      </c>
      <c r="D40">
        <v>7</v>
      </c>
      <c r="E40">
        <v>6</v>
      </c>
      <c r="G40">
        <f t="shared" si="0"/>
        <v>7</v>
      </c>
    </row>
    <row r="41" spans="1:7" x14ac:dyDescent="0.35">
      <c r="A41">
        <v>9</v>
      </c>
      <c r="B41" s="29" t="s">
        <v>161</v>
      </c>
      <c r="C41" s="29">
        <v>221999</v>
      </c>
      <c r="D41">
        <v>15</v>
      </c>
      <c r="E41">
        <v>16</v>
      </c>
      <c r="G41">
        <f t="shared" si="0"/>
        <v>15</v>
      </c>
    </row>
    <row r="42" spans="1:7" x14ac:dyDescent="0.35">
      <c r="A42">
        <v>27</v>
      </c>
      <c r="B42" s="29" t="s">
        <v>354</v>
      </c>
      <c r="C42" s="29">
        <v>179867</v>
      </c>
      <c r="E42">
        <v>26</v>
      </c>
      <c r="F42">
        <v>26</v>
      </c>
      <c r="G42">
        <f t="shared" si="0"/>
        <v>26</v>
      </c>
    </row>
    <row r="43" spans="1:7" x14ac:dyDescent="0.35">
      <c r="A43">
        <v>35</v>
      </c>
      <c r="B43" s="29" t="s">
        <v>66</v>
      </c>
      <c r="C43" s="29">
        <v>168218</v>
      </c>
      <c r="G43" t="str">
        <f t="shared" si="0"/>
        <v>n/a</v>
      </c>
    </row>
    <row r="44" spans="1:7" x14ac:dyDescent="0.35">
      <c r="A44">
        <v>38</v>
      </c>
      <c r="B44" s="29" t="s">
        <v>142</v>
      </c>
      <c r="C44" s="29">
        <v>130697</v>
      </c>
      <c r="E44">
        <v>40</v>
      </c>
      <c r="F44">
        <v>41</v>
      </c>
      <c r="G44">
        <f t="shared" si="0"/>
        <v>40</v>
      </c>
    </row>
    <row r="45" spans="1:7" x14ac:dyDescent="0.35">
      <c r="A45">
        <v>15</v>
      </c>
      <c r="B45" s="29" t="s">
        <v>21</v>
      </c>
      <c r="C45" s="29">
        <v>168342</v>
      </c>
      <c r="D45">
        <v>23</v>
      </c>
      <c r="E45">
        <v>27</v>
      </c>
      <c r="F45">
        <v>31</v>
      </c>
      <c r="G45">
        <f t="shared" si="0"/>
        <v>23</v>
      </c>
    </row>
    <row r="46" spans="1:7" x14ac:dyDescent="0.35">
      <c r="A46">
        <v>2</v>
      </c>
      <c r="B46" t="s">
        <v>70</v>
      </c>
      <c r="C46" s="25">
        <v>130794</v>
      </c>
      <c r="D46">
        <v>9</v>
      </c>
      <c r="E46">
        <v>10</v>
      </c>
      <c r="F46">
        <v>11</v>
      </c>
      <c r="G46">
        <f t="shared" si="0"/>
        <v>9</v>
      </c>
    </row>
    <row r="47" spans="1:7" x14ac:dyDescent="0.35">
      <c r="A47">
        <v>46</v>
      </c>
      <c r="B47" t="s">
        <v>35</v>
      </c>
      <c r="D47">
        <v>33</v>
      </c>
      <c r="E47">
        <v>49</v>
      </c>
      <c r="G47">
        <f t="shared" si="0"/>
        <v>33</v>
      </c>
    </row>
    <row r="49" spans="2:2" x14ac:dyDescent="0.35">
      <c r="B49" t="s">
        <v>459</v>
      </c>
    </row>
  </sheetData>
  <sortState xmlns:xlrd2="http://schemas.microsoft.com/office/spreadsheetml/2017/richdata2" ref="A2:F46">
    <sortCondition ref="B2:B4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F18EC-453F-49E4-A604-76214B50C225}">
  <sheetPr codeName="Sheet8"/>
  <dimension ref="A1:G10"/>
  <sheetViews>
    <sheetView workbookViewId="0">
      <selection activeCell="H44" sqref="H44"/>
    </sheetView>
  </sheetViews>
  <sheetFormatPr defaultColWidth="8.90625" defaultRowHeight="14.5" x14ac:dyDescent="0.35"/>
  <sheetData>
    <row r="1" spans="1:7" x14ac:dyDescent="0.35">
      <c r="A1" s="18" t="s">
        <v>415</v>
      </c>
      <c r="B1" s="19"/>
      <c r="C1" s="19"/>
      <c r="D1" s="19"/>
      <c r="E1" s="19"/>
      <c r="F1" s="19"/>
      <c r="G1" s="20"/>
    </row>
    <row r="2" spans="1:7" x14ac:dyDescent="0.35">
      <c r="A2" s="21" t="s">
        <v>414</v>
      </c>
      <c r="B2" s="22"/>
      <c r="C2" s="22"/>
      <c r="D2" s="22"/>
      <c r="E2" s="22"/>
      <c r="F2" s="22"/>
      <c r="G2" s="23"/>
    </row>
    <row r="10" spans="1:7" x14ac:dyDescent="0.35">
      <c r="B10" s="2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list general</vt:lpstr>
      <vt:lpstr>raw</vt:lpstr>
      <vt:lpstr>deadlines</vt:lpstr>
      <vt:lpstr>eadm_rates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 Cubbin</dc:creator>
  <cp:lastModifiedBy>Jerry Cubbin</cp:lastModifiedBy>
  <cp:lastPrinted>2024-07-16T02:23:29Z</cp:lastPrinted>
  <dcterms:created xsi:type="dcterms:W3CDTF">2022-10-15T18:04:07Z</dcterms:created>
  <dcterms:modified xsi:type="dcterms:W3CDTF">2025-09-30T17:17:16Z</dcterms:modified>
</cp:coreProperties>
</file>